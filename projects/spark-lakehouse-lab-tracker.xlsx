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etup" sheetId="2" state="visible" r:id="rId4"/>
    <sheet name="P1_ETL" sheetId="3" state="visible" r:id="rId5"/>
    <sheet name="P2_Joins" sheetId="4" state="visible" r:id="rId6"/>
    <sheet name="P3_Planner" sheetId="5" state="visible" r:id="rId7"/>
    <sheet name="P4_Perf" sheetId="6" state="visible" r:id="rId8"/>
    <sheet name="P5_Streaming" sheetId="7" state="visible" r:id="rId9"/>
    <sheet name="Environment" sheetId="8" state="visible" r:id="rId10"/>
    <sheet name="Experiments" sheetId="9" state="visible" r:id="rId11"/>
    <sheet name="Defects" sheetId="10" state="visible" r:id="rId12"/>
    <sheet name="Decisions" sheetId="11" state="visible" r:id="rId13"/>
    <sheet name="Config_Cards" sheetId="12" state="visible" r:id="rId14"/>
  </sheets>
  <definedNames>
    <definedName function="false" hidden="false" localSheetId="11" name="_xlnm.Print_Titles" vbProcedure="false">Config_Cards!$5:$5</definedName>
    <definedName function="false" hidden="true" localSheetId="11" name="_xlnm._FilterDatabase" vbProcedure="false">Config_Cards!$A$5:$I$38</definedName>
    <definedName function="false" hidden="false" localSheetId="0" name="_xlnm.Print_Titles" vbProcedure="false">Dashboard!$1:$2</definedName>
    <definedName function="false" hidden="false" localSheetId="10" name="_xlnm.Print_Titles" vbProcedure="false">Decisions!$5:$5</definedName>
    <definedName function="false" hidden="true" localSheetId="10" name="_xlnm._FilterDatabase" vbProcedure="false">Decisions!$A$5:$H$40</definedName>
    <definedName function="false" hidden="false" localSheetId="9" name="_xlnm.Print_Titles" vbProcedure="false">Defects!$5:$5</definedName>
    <definedName function="false" hidden="true" localSheetId="9" name="_xlnm._FilterDatabase" vbProcedure="false">Defects!$A$5:$M$60</definedName>
    <definedName function="false" hidden="false" localSheetId="7" name="_xlnm.Print_Titles" vbProcedure="false">Environment!$4:$4</definedName>
    <definedName function="false" hidden="false" localSheetId="8" name="_xlnm.Print_Titles" vbProcedure="false">Experiments!$5:$5</definedName>
    <definedName function="false" hidden="true" localSheetId="8" name="_xlnm._FilterDatabase" vbProcedure="false">Experiments!$A$5:$M$106</definedName>
    <definedName function="false" hidden="false" localSheetId="2" name="_xlnm.Print_Titles" vbProcedure="false">P1_ETL!$5:$5</definedName>
    <definedName function="false" hidden="true" localSheetId="2" name="_xlnm._FilterDatabase" vbProcedure="false">P1_ETL!$A$5:$H$127</definedName>
    <definedName function="false" hidden="false" localSheetId="3" name="_xlnm.Print_Titles" vbProcedure="false">P2_Joins!$5:$5</definedName>
    <definedName function="false" hidden="true" localSheetId="3" name="_xlnm._FilterDatabase" vbProcedure="false">P2_Joins!$A$5:$H$109</definedName>
    <definedName function="false" hidden="false" localSheetId="4" name="_xlnm.Print_Titles" vbProcedure="false">P3_Planner!$5:$5</definedName>
    <definedName function="false" hidden="true" localSheetId="4" name="_xlnm._FilterDatabase" vbProcedure="false">P3_Planner!$A$5:$H$95</definedName>
    <definedName function="false" hidden="false" localSheetId="5" name="_xlnm.Print_Titles" vbProcedure="false">P4_Perf!$5:$5</definedName>
    <definedName function="false" hidden="true" localSheetId="5" name="_xlnm._FilterDatabase" vbProcedure="false">P4_Perf!$A$5:$H$108</definedName>
    <definedName function="false" hidden="false" localSheetId="6" name="_xlnm.Print_Titles" vbProcedure="false">P5_Streaming!$5:$5</definedName>
    <definedName function="false" hidden="true" localSheetId="6" name="_xlnm._FilterDatabase" vbProcedure="false">P5_Streaming!$A$5:$H$93</definedName>
    <definedName function="false" hidden="false" localSheetId="1" name="_xlnm.Print_Titles" vbProcedure="false">Setup!$5:$5</definedName>
    <definedName function="false" hidden="true" localSheetId="1" name="_xlnm._FilterDatabase" vbProcedure="false">Setup!$A$5:$H$58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<sst xmlns="http://schemas.openxmlformats.org/spreadsheetml/2006/main" count="3283" uniqueCount="1453">
  <si>
    <t xml:space="preserve">Spark Lakehouse Lab - Progress Dashboard</t>
  </si>
  <si>
    <t xml:space="preserve">Instacart  |  PostgreSQL  |  RustFS  |  Apache Iceberg  |  Spark 4.x standalone.  All numbers on this sheet are formulas; do not type over them.</t>
  </si>
  <si>
    <t xml:space="preserve">HOW TO USE</t>
  </si>
  <si>
    <t xml:space="preserve">Yellow cells are yours to edit: Status (dropdown), Started, Completed and Evidence / notes on each checklist tab.</t>
  </si>
  <si>
    <t xml:space="preserve">Status values: Not started, In progress, Blocked, Done, Skipped. Skipped items are excluded from % complete.</t>
  </si>
  <si>
    <t xml:space="preserve">Example: set Status = Done, Completed = 2026-11-03, Evidence = 'E-014, D-003' (experiment and defect IDs).</t>
  </si>
  <si>
    <t xml:space="preserve">Log every experiment on Experiments (prediction first), every data issue on Defects, every choice on Decisions.</t>
  </si>
  <si>
    <t xml:space="preserve">Grey italic rows on the log tabs are examples: overwrite or delete them. Suggested order: Setup, P1 (M0-M5), P3 and P2, P1 (M2, M6-M8), P4, P5.</t>
  </si>
  <si>
    <t xml:space="preserve">OVERALL PROGRESS</t>
  </si>
  <si>
    <t xml:space="preserve">Scope</t>
  </si>
  <si>
    <t xml:space="preserve">Detail</t>
  </si>
  <si>
    <t xml:space="preserve">Total</t>
  </si>
  <si>
    <t xml:space="preserve">Done</t>
  </si>
  <si>
    <t xml:space="preserve">In progress</t>
  </si>
  <si>
    <t xml:space="preserve">Blocked</t>
  </si>
  <si>
    <t xml:space="preserve">Not started</t>
  </si>
  <si>
    <t xml:space="preserve">Skipped</t>
  </si>
  <si>
    <t xml:space="preserve">% complete</t>
  </si>
  <si>
    <t xml:space="preserve">Next task</t>
  </si>
  <si>
    <t xml:space="preserve">All areas</t>
  </si>
  <si>
    <t xml:space="preserve">Setup + five projects</t>
  </si>
  <si>
    <t xml:space="preserve">BY AREA</t>
  </si>
  <si>
    <t xml:space="preserve">Area</t>
  </si>
  <si>
    <t xml:space="preserve">Open this tab</t>
  </si>
  <si>
    <t xml:space="preserve">Next task (first In progress, else first Not started)</t>
  </si>
  <si>
    <t xml:space="preserve">Setup and gates</t>
  </si>
  <si>
    <t xml:space="preserve">Setup and gates (open tab)</t>
  </si>
  <si>
    <t xml:space="preserve">Project 1</t>
  </si>
  <si>
    <t xml:space="preserve">Project 1: Lakehouse medallion ETL</t>
  </si>
  <si>
    <t xml:space="preserve">Project 2</t>
  </si>
  <si>
    <t xml:space="preserve">Project 2: Joins, shuffles and skew</t>
  </si>
  <si>
    <t xml:space="preserve">Project 3</t>
  </si>
  <si>
    <t xml:space="preserve">Project 3: Catalyst and query planning</t>
  </si>
  <si>
    <t xml:space="preserve">Project 4</t>
  </si>
  <si>
    <t xml:space="preserve">Project 4: Executors, memory and I/O performance</t>
  </si>
  <si>
    <t xml:space="preserve">Project 5</t>
  </si>
  <si>
    <t xml:space="preserve">Project 5: Streaming and CDC into Iceberg</t>
  </si>
  <si>
    <t xml:space="preserve">SUPPORTING TRACKERS</t>
  </si>
  <si>
    <t xml:space="preserve">Tracker</t>
  </si>
  <si>
    <t xml:space="preserve">Measure</t>
  </si>
  <si>
    <t xml:space="preserve">Count</t>
  </si>
  <si>
    <t xml:space="preserve">Experiments</t>
  </si>
  <si>
    <t xml:space="preserve">Logged</t>
  </si>
  <si>
    <t xml:space="preserve">Prediction correct (Yes)</t>
  </si>
  <si>
    <t xml:space="preserve">Prediction accuracy (Yes / answered)</t>
  </si>
  <si>
    <t xml:space="preserve">Defects</t>
  </si>
  <si>
    <t xml:space="preserve">On the register</t>
  </si>
  <si>
    <t xml:space="preserve">Handled</t>
  </si>
  <si>
    <t xml:space="preserve">Still to verify</t>
  </si>
  <si>
    <t xml:space="preserve">Decisions</t>
  </si>
  <si>
    <t xml:space="preserve">Decided</t>
  </si>
  <si>
    <t xml:space="preserve">Still open</t>
  </si>
  <si>
    <t xml:space="preserve">Config cards</t>
  </si>
  <si>
    <t xml:space="preserve">Learned</t>
  </si>
  <si>
    <t xml:space="preserve">BY MILESTONE</t>
  </si>
  <si>
    <t xml:space="preserve">Milestone</t>
  </si>
  <si>
    <t xml:space="preserve">SU</t>
  </si>
  <si>
    <t xml:space="preserve">S0 Gates and decisions</t>
  </si>
  <si>
    <t xml:space="preserve">S1 Platform bring-up</t>
  </si>
  <si>
    <t xml:space="preserve">S2 RustFS smoke tests</t>
  </si>
  <si>
    <t xml:space="preserve">S3 Dataset acquisition</t>
  </si>
  <si>
    <t xml:space="preserve">S4 Helpers</t>
  </si>
  <si>
    <t xml:space="preserve">S5 Conventions</t>
  </si>
  <si>
    <t xml:space="preserve">P1</t>
  </si>
  <si>
    <t xml:space="preserve">M0 Load, profile, enrich</t>
  </si>
  <si>
    <t xml:space="preserve">M1 Full extraction</t>
  </si>
  <si>
    <t xml:space="preserve">M2 Incremental extraction</t>
  </si>
  <si>
    <t xml:space="preserve">M3 Bronze</t>
  </si>
  <si>
    <t xml:space="preserve">M4 Silver</t>
  </si>
  <si>
    <t xml:space="preserve">M5 Gold</t>
  </si>
  <si>
    <t xml:space="preserve">M6 Evolution and WAP</t>
  </si>
  <si>
    <t xml:space="preserve">M7 Maintenance</t>
  </si>
  <si>
    <t xml:space="preserve">M8 Orchestration and reconciliation</t>
  </si>
  <si>
    <t xml:space="preserve">P2</t>
  </si>
  <si>
    <t xml:space="preserve">M0 Test bed and baselines</t>
  </si>
  <si>
    <t xml:space="preserve">M1 Reading baseline plans</t>
  </si>
  <si>
    <t xml:space="preserve">M2 Join strategies by hint</t>
  </si>
  <si>
    <t xml:space="preserve">M3 Federated joins</t>
  </si>
  <si>
    <t xml:space="preserve">M4 Diagnosing skew</t>
  </si>
  <si>
    <t xml:space="preserve">M5 Skew-fix ladder</t>
  </si>
  <si>
    <t xml:space="preserve">M6 Pair explosion</t>
  </si>
  <si>
    <t xml:space="preserve">M7 Range joins</t>
  </si>
  <si>
    <t xml:space="preserve">M8 Partition sizing and writes</t>
  </si>
  <si>
    <t xml:space="preserve">M9 Storage-partitioned joins</t>
  </si>
  <si>
    <t xml:space="preserve">M10 Memory pressure and spill</t>
  </si>
  <si>
    <t xml:space="preserve">M11 Anti-pattern gallery</t>
  </si>
  <si>
    <t xml:space="preserve">M12 Synthesis</t>
  </si>
  <si>
    <t xml:space="preserve">P3</t>
  </si>
  <si>
    <t xml:space="preserve">M0 Variants and query suite</t>
  </si>
  <si>
    <t xml:space="preserve">M1 Plan literacy</t>
  </si>
  <si>
    <t xml:space="preserve">M2 Iceberg pruning</t>
  </si>
  <si>
    <t xml:space="preserve">M3 Runtime filtering</t>
  </si>
  <si>
    <t xml:space="preserve">M4 Statistics and cost-based planning</t>
  </si>
  <si>
    <t xml:space="preserve">M5 JDBC pushdown</t>
  </si>
  <si>
    <t xml:space="preserve">M6 AQE re-planning</t>
  </si>
  <si>
    <t xml:space="preserve">M7 Whole-stage codegen</t>
  </si>
  <si>
    <t xml:space="preserve">M8 Optimizer blockers</t>
  </si>
  <si>
    <t xml:space="preserve">M9 Layout optimization</t>
  </si>
  <si>
    <t xml:space="preserve">M10 Synthesis</t>
  </si>
  <si>
    <t xml:space="preserve">P4</t>
  </si>
  <si>
    <t xml:space="preserve">M0 Workloads and baselines</t>
  </si>
  <si>
    <t xml:space="preserve">M1 Topology and strong scaling</t>
  </si>
  <si>
    <t xml:space="preserve">M2 Memory model</t>
  </si>
  <si>
    <t xml:space="preserve">M3 Serialization and RDD</t>
  </si>
  <si>
    <t xml:space="preserve">M4 Python UDF ladder</t>
  </si>
  <si>
    <t xml:space="preserve">M5 Object-store tuning</t>
  </si>
  <si>
    <t xml:space="preserve">M6 JDBC concurrency</t>
  </si>
  <si>
    <t xml:space="preserve">M7 Concurrent writers</t>
  </si>
  <si>
    <t xml:space="preserve">M8 Scheduling and allocation</t>
  </si>
  <si>
    <t xml:space="preserve">M9 Resilience</t>
  </si>
  <si>
    <t xml:space="preserve">M10 Shuffle internals</t>
  </si>
  <si>
    <t xml:space="preserve">M11 Capacity model</t>
  </si>
  <si>
    <t xml:space="preserve">P5</t>
  </si>
  <si>
    <t xml:space="preserve">M0 Sources, speeds, SLOs</t>
  </si>
  <si>
    <t xml:space="preserve">M1 Clickstream to bronze</t>
  </si>
  <si>
    <t xml:space="preserve">M2 Small files and maintenance</t>
  </si>
  <si>
    <t xml:space="preserve">M3 Windowed aggregates</t>
  </si>
  <si>
    <t xml:space="preserve">M4 Sessionization</t>
  </si>
  <si>
    <t xml:space="preserve">M5 CDC apply</t>
  </si>
  <si>
    <t xml:space="preserve">M6 Dedup and joins</t>
  </si>
  <si>
    <t xml:space="preserve">M7 State and throughput tuning</t>
  </si>
  <si>
    <t xml:space="preserve">M8 Failure drills</t>
  </si>
  <si>
    <t xml:space="preserve">M9 Latency and SLOs</t>
  </si>
  <si>
    <t xml:space="preserve">Source: README sections 2-3 (bring-up and gates).  Edit only the yellow cells: Status (dropdown), Started, Completed, Evidence / notes.</t>
  </si>
  <si>
    <t xml:space="preserve">Progress</t>
  </si>
  <si>
    <t xml:space="preserve">ID</t>
  </si>
  <si>
    <t xml:space="preserve">Task</t>
  </si>
  <si>
    <t xml:space="preserve">Type</t>
  </si>
  <si>
    <t xml:space="preserve">Status</t>
  </si>
  <si>
    <t xml:space="preserve">Started</t>
  </si>
  <si>
    <t xml:space="preserve">Completed</t>
  </si>
  <si>
    <t xml:space="preserve">Evidence / notes</t>
  </si>
  <si>
    <t xml:space="preserve">SU-S0-01</t>
  </si>
  <si>
    <t xml:space="preserve">Gate A: find the Iceberg Spark runtime artifact that matches your Spark minor version (Scala 2.13) on Maven Central. If the Spark 4.2 runtime is missing, pin Spark to the newest 4.x that has one. Record in Environment and Decisions.</t>
  </si>
  <si>
    <t xml:space="preserve">SU-S0-02</t>
  </si>
  <si>
    <t xml:space="preserve">Gate C: decide how the Iceberg runtime, the S3 access bundle (S3A + matching AWS SDK, or Iceberg AWS bundle) and the Postgres JDBC driver reach the driver and every executor (baked in vs resolved at runtime).</t>
  </si>
  <si>
    <t xml:space="preserve">SU-S0-03</t>
  </si>
  <si>
    <t xml:space="preserve">Gate D: choose the catalog (recommended: JDBC on Postgres, separate database). Record in Decisions.</t>
  </si>
  <si>
    <t xml:space="preserve">SU-S0-04</t>
  </si>
  <si>
    <t xml:space="preserve">Gate E: plan Postgres capacity for ~34M order lines (disk, memory, bulk load then index) and decide what stays in Postgres vs files only.</t>
  </si>
  <si>
    <t xml:space="preserve">SU-S0-05</t>
  </si>
  <si>
    <t xml:space="preserve">Set explicit CPU and memory limits on Postgres and RustFS (or record that you left them off on purpose).</t>
  </si>
  <si>
    <t xml:space="preserve">SU-S1-01</t>
  </si>
  <si>
    <t xml:space="preserve">1. RustFS running (pinned release tag, changed credentials). Log in to the console, create buckets landing, warehouse, checkpoints, spark-events, archive; list them with an S3 client.</t>
  </si>
  <si>
    <t xml:space="preserve">SU-S1-02</t>
  </si>
  <si>
    <t xml:space="preserve">2. PostgreSQL running with two databases (source, catalog). Connect from your laptop and from the Jupyter container.</t>
  </si>
  <si>
    <t xml:space="preserve">SU-S1-03</t>
  </si>
  <si>
    <t xml:space="preserve">3. Spark cluster running. Master UI shows 4 workers, each with 2 cores and 2 GB.</t>
  </si>
  <si>
    <t xml:space="preserve">SU-S1-04</t>
  </si>
  <si>
    <t xml:space="preserve">4. Jars resolved. A session starts with the Iceberg runtime, S3 access and the JDBC driver on the driver and on executors.</t>
  </si>
  <si>
    <t xml:space="preserve">SU-S1-05</t>
  </si>
  <si>
    <t xml:space="preserve">5. Catalog configured. Create and drop a test namespace.</t>
  </si>
  <si>
    <t xml:space="preserve">SU-S1-06</t>
  </si>
  <si>
    <t xml:space="preserve">6. Iceberg smoke test. Create a table, insert, read back, list snapshots, and see data and metadata objects in the RustFS console.</t>
  </si>
  <si>
    <t xml:space="preserve">SU-S1-07</t>
  </si>
  <si>
    <t xml:space="preserve">7. S3A smoke test. Write and read Parquet at an s3a path and compare with Iceberg's own file I/O.</t>
  </si>
  <si>
    <t xml:space="preserve">SU-S1-08</t>
  </si>
  <si>
    <t xml:space="preserve">8. JDBC smoke test. Read a 1M-row test table with several partitions and watch the connections in Postgres.</t>
  </si>
  <si>
    <t xml:space="preserve">SU-S1-09</t>
  </si>
  <si>
    <t xml:space="preserve">9. History server shows a finished application with its event log in the bucket.</t>
  </si>
  <si>
    <t xml:space="preserve">SU-S1-10</t>
  </si>
  <si>
    <t xml:space="preserve">10. End-to-end hello pipeline: Postgres -&gt; landing Parquet -&gt; Iceberg bronze -&gt; query. Run twice; the second run must be idempotent.</t>
  </si>
  <si>
    <t xml:space="preserve">SU-S2-01</t>
  </si>
  <si>
    <t xml:space="preserve">Write and read a Parquet file through both S3A and Iceberg file I/O.</t>
  </si>
  <si>
    <t xml:space="preserve">Experiment</t>
  </si>
  <si>
    <t xml:space="preserve">SU-S2-02</t>
  </si>
  <si>
    <t xml:space="preserve">Write an object larger than the multipart threshold.</t>
  </si>
  <si>
    <t xml:space="preserve">SU-S2-03</t>
  </si>
  <si>
    <t xml:space="preserve">List a prefix with 10k+ objects (note time and pagination).</t>
  </si>
  <si>
    <t xml:space="preserve">SU-S2-04</t>
  </si>
  <si>
    <t xml:space="preserve">Delete many objects (cleanup and orphan removal path).</t>
  </si>
  <si>
    <t xml:space="preserve">SU-S2-05</t>
  </si>
  <si>
    <t xml:space="preserve">Two Spark applications writing at once.</t>
  </si>
  <si>
    <t xml:space="preserve">SU-S2-06</t>
  </si>
  <si>
    <t xml:space="preserve">Read an Iceberg table's metadata tables.</t>
  </si>
  <si>
    <t xml:space="preserve">SU-S2-07</t>
  </si>
  <si>
    <t xml:space="preserve">Kill RustFS during a write, restart, verify table and objects.</t>
  </si>
  <si>
    <t xml:space="preserve">SU-S2-08</t>
  </si>
  <si>
    <t xml:space="preserve">Smoke-test results recorded; every difference from AWS S3 behavior noted.</t>
  </si>
  <si>
    <t xml:space="preserve">Exit check</t>
  </si>
  <si>
    <t xml:space="preserve">SU-S3-01</t>
  </si>
  <si>
    <t xml:space="preserve">Create a Kaggle account and accept the Instacart competition rules so the files unlock.</t>
  </si>
  <si>
    <t xml:space="preserve">SU-S3-02</t>
  </si>
  <si>
    <t xml:space="preserve">Read the dataset terms (learning use only; keep your copy out of shared repositories).</t>
  </si>
  <si>
    <t xml:space="preserve">SU-S3-03</t>
  </si>
  <si>
    <t xml:space="preserve">Download all files and record checksums.</t>
  </si>
  <si>
    <t xml:space="preserve">SU-S3-04</t>
  </si>
  <si>
    <t xml:space="preserve">Store an immutable copy under landing/raw_dump.</t>
  </si>
  <si>
    <t xml:space="preserve">SU-S3-05</t>
  </si>
  <si>
    <t xml:space="preserve">Record file sizes and plain line counts (your first reconciliation numbers).</t>
  </si>
  <si>
    <t xml:space="preserve">SU-S3-06</t>
  </si>
  <si>
    <t xml:space="preserve">Raw files stored untouched, with checksums and line counts written down.</t>
  </si>
  <si>
    <t xml:space="preserve">SU-S4-01</t>
  </si>
  <si>
    <t xml:space="preserve">Dataset loader (stage as text, type, constrain, log violations to the defect register).</t>
  </si>
  <si>
    <t xml:space="preserve">SU-S4-02</t>
  </si>
  <si>
    <t xml:space="preserve">Timeline builder (rebuild timestamps from gaps, hours, weekdays; report inconsistencies).</t>
  </si>
  <si>
    <t xml:space="preserve">SU-S4-03</t>
  </si>
  <si>
    <t xml:space="preserve">Enricher (users, stores, price book, totals, payments, lifecycle).</t>
  </si>
  <si>
    <t xml:space="preserve">SU-S4-04</t>
  </si>
  <si>
    <t xml:space="preserve">Sampler / upscaler (reproducible S, M, L tiers).</t>
  </si>
  <si>
    <t xml:space="preserve">SU-S4-05</t>
  </si>
  <si>
    <t xml:space="preserve">Lifecycle replayer (change simulator with adjustable speed and late-change probability).</t>
  </si>
  <si>
    <t xml:space="preserve">SU-S4-06</t>
  </si>
  <si>
    <t xml:space="preserve">Clickstream generator (continuous and bulk JSON sessions to landing).</t>
  </si>
  <si>
    <t xml:space="preserve">SU-S4-07</t>
  </si>
  <si>
    <t xml:space="preserve">Session factory (master, driver host, catalog, S3 settings, event-log location, per-experiment overrides).</t>
  </si>
  <si>
    <t xml:space="preserve">SU-S4-08</t>
  </si>
  <si>
    <t xml:space="preserve">Timer and job labeler.</t>
  </si>
  <si>
    <t xml:space="preserve">SU-S4-09</t>
  </si>
  <si>
    <t xml:space="preserve">No-op executor (forces full execution without a write).</t>
  </si>
  <si>
    <t xml:space="preserve">SU-S4-10</t>
  </si>
  <si>
    <t xml:space="preserve">Plan reporter (scan filters, join types, exchange counts).</t>
  </si>
  <si>
    <t xml:space="preserve">SU-S4-11</t>
  </si>
  <si>
    <t xml:space="preserve">Iceberg inspector (files, sizes, snapshots, manifests from metadata tables).</t>
  </si>
  <si>
    <t xml:space="preserve">SU-S4-12</t>
  </si>
  <si>
    <t xml:space="preserve">Reconciler (counts and checksums across source, bronze, silver, gold).</t>
  </si>
  <si>
    <t xml:space="preserve">SU-S5-01</t>
  </si>
  <si>
    <t xml:space="preserve">Keep the Defect register, Experiment log and Decision log current (tabs in this workbook).</t>
  </si>
  <si>
    <t xml:space="preserve">SU-S5-02</t>
  </si>
  <si>
    <t xml:space="preserve">Decide run id and extract id conventions carried into every layer.</t>
  </si>
  <si>
    <t xml:space="preserve">SU-S5-03</t>
  </si>
  <si>
    <t xml:space="preserve">Decide namespaces (bronze, silver, gold, quarantine) and the landing path convention (source / table / extract date / extract id).</t>
  </si>
  <si>
    <t xml:space="preserve">SU-S5-04</t>
  </si>
  <si>
    <t xml:space="preserve">Fix random seeds for every generator so any tier can be rebuilt identically.</t>
  </si>
  <si>
    <t xml:space="preserve">SU-S5-05</t>
  </si>
  <si>
    <t xml:space="preserve">Decide time-zone policy: store UTC, document the assumed local zone for the rebuilt timeline.</t>
  </si>
  <si>
    <t xml:space="preserve">SU-S5-06</t>
  </si>
  <si>
    <t xml:space="preserve">All gates decided, all 10 bring-up steps verified, helpers usable, conventions written down.</t>
  </si>
  <si>
    <t xml:space="preserve">Source: 01-lakehouse-medallion-etl.md.  Edit only the yellow cells: Status (dropdown), Started, Completed, Evidence / notes.</t>
  </si>
  <si>
    <t xml:space="preserve">P1-M0-01</t>
  </si>
  <si>
    <t xml:space="preserve">Keep an untouched copy of the raw files in landing/raw_dump (everything must be reproducible from it).</t>
  </si>
  <si>
    <t xml:space="preserve">P1-M0-02</t>
  </si>
  <si>
    <t xml:space="preserve">Create a staging schema with every column as text; load all files; note rows per second for each loading method.</t>
  </si>
  <si>
    <t xml:space="preserve">P1-M0-03</t>
  </si>
  <si>
    <t xml:space="preserve">Fix CSV parsing of product names (commas, quotes): naive reader vs quoted-CSV reader; log the broken-row count as a defect.</t>
  </si>
  <si>
    <t xml:space="preserve">P1-M0-04</t>
  </si>
  <si>
    <t xml:space="preserve">Type the data in a second step; capture every row that fails to cast.</t>
  </si>
  <si>
    <t xml:space="preserve">P1-M0-05</t>
  </si>
  <si>
    <t xml:space="preserve">Profile every table: row count, null rate, distinct counts, min/max, text lengths, top values, duplicate rate on candidate keys.</t>
  </si>
  <si>
    <t xml:space="preserve">P1-M0-06</t>
  </si>
  <si>
    <t xml:space="preserve">Profile relationships (orphan counts per candidate foreign key, cardinality), distributions (basket size, orders per user, product frequency, hour/weekday) and temporal fields (days_since_prior_order, spike at the cap, nulls by order_number).</t>
  </si>
  <si>
    <t xml:space="preserve">P1-M0-07</t>
  </si>
  <si>
    <t xml:space="preserve">Union prior and train lines into one table with a source-file column; decide and record how test-set orders (no lines) are represented.</t>
  </si>
  <si>
    <t xml:space="preserve">P1-M0-08</t>
  </si>
  <si>
    <t xml:space="preserve">Add constraints in stages (PKs on small tables and orders, composite PK on lines, FKs lines-&gt;orders/products, products-&gt;aisles/departments); fill the constraint status table with violation counts.</t>
  </si>
  <si>
    <t xml:space="preserve">P1-M0-09</t>
  </si>
  <si>
    <t xml:space="preserve">Verify the reordered flag against each user's history; interpret mismatches.</t>
  </si>
  <si>
    <t xml:space="preserve">P1-M0-10</t>
  </si>
  <si>
    <t xml:space="preserve">Build the rebuilt timeline (start date, first order, capped gaps, weekday mismatch rules); output timestamp and quality flag; report the weekday-fit rate.</t>
  </si>
  <si>
    <t xml:space="preserve">P1-M0-11</t>
  </si>
  <si>
    <t xml:space="preserve">Generate synthetic tables in dependency order: users, stores, price book, totals, payments, lifecycle, erasures, campaign calendar; test each with its validity rules.</t>
  </si>
  <si>
    <t xml:space="preserve">P1-M0-12</t>
  </si>
  <si>
    <t xml:space="preserve">Add updated_at and is_deleted, keys and FK indexes; deliberately skip one useful index (for example on the order timestamp).</t>
  </si>
  <si>
    <t xml:space="preserve">P1-M0-13</t>
  </si>
  <si>
    <t xml:space="preserve">Install change-log triggers after the bulk load.</t>
  </si>
  <si>
    <t xml:space="preserve">P1-M0-14</t>
  </si>
  <si>
    <t xml:space="preserve">Build tiers: S (sample by user), then M; re-profile and compare distributions with M.</t>
  </si>
  <si>
    <t xml:space="preserve">P1-M0-15</t>
  </si>
  <si>
    <t xml:space="preserve">Loading methods: server-side copy vs client-side copy vs Spark JDBC write.</t>
  </si>
  <si>
    <t xml:space="preserve">P1-M0-16</t>
  </si>
  <si>
    <t xml:space="preserve">Index and constraint timing: before load vs after load (total load time).</t>
  </si>
  <si>
    <t xml:space="preserve">P1-M0-17</t>
  </si>
  <si>
    <t xml:space="preserve">Lines table design in Postgres: single table vs partitioned by order date.</t>
  </si>
  <si>
    <t xml:space="preserve">P1-M0-18</t>
  </si>
  <si>
    <t xml:space="preserve">Test-set orders: keep vs flag vs separate table.</t>
  </si>
  <si>
    <t xml:space="preserve">P1-M0-19</t>
  </si>
  <si>
    <t xml:space="preserve">Defect register covers every issue in README section 3.3; constraint table complete; timeline report written; S and M row counts match the files.</t>
  </si>
  <si>
    <t xml:space="preserve">P1-M1-01</t>
  </si>
  <si>
    <t xml:space="preserve">Choose the snapshot-consistency approach per table (shared repeatable-read snapshot, quiet window, or accept and reconcile).</t>
  </si>
  <si>
    <t xml:space="preserve">P1-M1-02</t>
  </si>
  <si>
    <t xml:space="preserve">Choose a partitioning strategy per table (id ranges, hash, month, surrogate key); get bounds from a min/max query just before the run.</t>
  </si>
  <si>
    <t xml:space="preserve">P1-M1-03</t>
  </si>
  <si>
    <t xml:space="preserve">Measure rows per partition before the full run (large baskets make equal id ranges unequal).</t>
  </si>
  <si>
    <t xml:space="preserve">P1-M1-04</t>
  </si>
  <si>
    <t xml:space="preserve">Run the extract at a modest partition count, then scale up.</t>
  </si>
  <si>
    <t xml:space="preserve">P1-M1-05</t>
  </si>
  <si>
    <t xml:space="preserve">Land to a temporary location with the path convention, then publish a manifest last (table, extract id, rows, bytes, partitions, timestamps, snapshot id).</t>
  </si>
  <si>
    <t xml:space="preserve">P1-M1-06</t>
  </si>
  <si>
    <t xml:space="preserve">Validate row counts and a column checksum against Postgres.</t>
  </si>
  <si>
    <t xml:space="preserve">P1-M1-07</t>
  </si>
  <si>
    <t xml:space="preserve">Partition count sweep: 1, 4, 8, 16, 32 (time, Postgres connections, slowest task).</t>
  </si>
  <si>
    <t xml:space="preserve">P1-M1-08</t>
  </si>
  <si>
    <t xml:space="preserve">fetchsize sweep: small / default / large (executor memory, round trips).</t>
  </si>
  <si>
    <t xml:space="preserve">P1-M1-09</t>
  </si>
  <si>
    <t xml:space="preserve">Table option vs query with a subquery (what Postgres actually executes).</t>
  </si>
  <si>
    <t xml:space="preserve">P1-M1-10</t>
  </si>
  <si>
    <t xml:space="preserve">Landing format and compression: Parquet / CSV / JSON x snappy / zstd / none.</t>
  </si>
  <si>
    <t xml:space="preserve">P1-M1-11</t>
  </si>
  <si>
    <t xml:space="preserve">Output file size: many small vs few large files (later scan cost on RustFS).</t>
  </si>
  <si>
    <t xml:space="preserve">P1-M1-12</t>
  </si>
  <si>
    <t xml:space="preserve">Partition on the unindexed timestamp and observe the effect of the missing index.</t>
  </si>
  <si>
    <t xml:space="preserve">P1-M1-13</t>
  </si>
  <si>
    <t xml:space="preserve">All tables extracted with matching counts and checksums; manifest per extract; partition choices justified with evidence.</t>
  </si>
  <si>
    <t xml:space="preserve">P1-M2-01</t>
  </si>
  <si>
    <t xml:space="preserve">Start the lifecycle replayer so Postgres changes continuously.</t>
  </si>
  <si>
    <t xml:space="preserve">P1-M2-02</t>
  </si>
  <si>
    <t xml:space="preserve">Choose an extraction strategy per table (watermark on updated_at, monotonic key, change-log polling, snapshot diff) and justify each.</t>
  </si>
  <si>
    <t xml:space="preserve">P1-M2-03</t>
  </si>
  <si>
    <t xml:space="preserve">Build the control table: run id, lower/upper bound, status, row counts, start/finish times.</t>
  </si>
  <si>
    <t xml:space="preserve">P1-M2-04</t>
  </si>
  <si>
    <t xml:space="preserve">Measure real update lateness and set the overlap window from data.</t>
  </si>
  <si>
    <t xml:space="preserve">P1-M2-05</t>
  </si>
  <si>
    <t xml:space="preserve">Extract the window, land with run id, deduplicate on key and latest change.</t>
  </si>
  <si>
    <t xml:space="preserve">P1-M2-06</t>
  </si>
  <si>
    <t xml:space="preserve">Implement delete detection (soft-delete flag, tombstones in the change log, periodic full key reconciliation).</t>
  </si>
  <si>
    <t xml:space="preserve">P1-M2-07</t>
  </si>
  <si>
    <t xml:space="preserve">Prove idempotency: re-run the same window; fail a run midway and recover on the next run.</t>
  </si>
  <si>
    <t xml:space="preserve">P1-M2-08</t>
  </si>
  <si>
    <t xml:space="preserve">Reconcile counts and key sets between source and landing at intervals.</t>
  </si>
  <si>
    <t xml:space="preserve">P1-M2-09</t>
  </si>
  <si>
    <t xml:space="preserve">Compare strategies: watermark vs change-log polling vs snapshot diff (cost, missed changes).</t>
  </si>
  <si>
    <t xml:space="preserve">P1-M2-10</t>
  </si>
  <si>
    <t xml:space="preserve">Compare delete detection: flag, tombstone, reconciliation, flag + reconciliation.</t>
  </si>
  <si>
    <t xml:space="preserve">P1-M2-11</t>
  </si>
  <si>
    <t xml:space="preserve">A day of replayed changes arrives complete; no missed late updates; hard deletes detected within the documented lag.</t>
  </si>
  <si>
    <t xml:space="preserve">P1-M3-01</t>
  </si>
  <si>
    <t xml:space="preserve">Define the bronze contract: raw as received plus lineage columns (run id, extract id, source system, ingested time, source file, operation).</t>
  </si>
  <si>
    <t xml:space="preserve">P1-M3-02</t>
  </si>
  <si>
    <t xml:space="preserve">Create one bronze table per source table (snapshot and incremental loads together).</t>
  </si>
  <si>
    <t xml:space="preserve">P1-M3-03</t>
  </si>
  <si>
    <t xml:space="preserve">Decide typed vs all-string bronze and record it.</t>
  </si>
  <si>
    <t xml:space="preserve">P1-M3-04</t>
  </si>
  <si>
    <t xml:space="preserve">Choose table properties: format version, file format, compression, target file size.</t>
  </si>
  <si>
    <t xml:space="preserve">P1-M3-05</t>
  </si>
  <si>
    <t xml:space="preserve">Choose partitioning for the lines table; predict file counts, then verify with the metadata tables.</t>
  </si>
  <si>
    <t xml:space="preserve">P1-M3-06</t>
  </si>
  <si>
    <t xml:space="preserve">Load from landing; load clickstream with an explicit schema, corrupt-record capture and the planned schema drift handled.</t>
  </si>
  <si>
    <t xml:space="preserve">P1-M3-07</t>
  </si>
  <si>
    <t xml:space="preserve">After every write inspect snapshots, files, manifests, partitions and compare with the RustFS objects.</t>
  </si>
  <si>
    <t xml:space="preserve">P1-M3-08</t>
  </si>
  <si>
    <t xml:space="preserve">Sanity-check: counts match landing manifests; trace sample rows back to source.</t>
  </si>
  <si>
    <t xml:space="preserve">P1-M3-09</t>
  </si>
  <si>
    <t xml:space="preserve">Lines partitioning: month of order date / day of load / bucket on order id / department / unpartitioned sorted.</t>
  </si>
  <si>
    <t xml:space="preserve">P1-M3-10</t>
  </si>
  <si>
    <t xml:space="preserve">Two compression codecs and two target file sizes.</t>
  </si>
  <si>
    <t xml:space="preserve">P1-M3-11</t>
  </si>
  <si>
    <t xml:space="preserve">Typed vs all-string bronze; one table vs two tables for snapshots and increments.</t>
  </si>
  <si>
    <t xml:space="preserve">P1-M3-12</t>
  </si>
  <si>
    <t xml:space="preserve">All bronze tables reconciled with landing; each partition choice evaluated with file counts and sizes; lineage complete.</t>
  </si>
  <si>
    <t xml:space="preserve">P1-M4-01</t>
  </si>
  <si>
    <t xml:space="preserve">Order lines: dedupe on order + product; validate add_to_cart_order is gap-free; flag orders without lines; join the price valid at order time.</t>
  </si>
  <si>
    <t xml:space="preserve">P1-M4-02</t>
  </si>
  <si>
    <t xml:space="preserve">Orders: validate user history (contiguous, unique order numbers); keep raw eval_set; apply timeline; flag cancelled; quarantine impossible lifecycles.</t>
  </si>
  <si>
    <t xml:space="preserve">P1-M4-03</t>
  </si>
  <si>
    <t xml:space="preserve">Products and taxonomy: conform three levels; explicit unknown for the placeholder aisle/department; normalize names.</t>
  </si>
  <si>
    <t xml:space="preserve">P1-M4-04</t>
  </si>
  <si>
    <t xml:space="preserve">Users SCD2: valid_from / valid_to / is_current for membership tier; prove with as-of queries.</t>
  </si>
  <si>
    <t xml:space="preserve">P1-M4-05</t>
  </si>
  <si>
    <t xml:space="preserve">Prices: effective-dated; detect overlaps and gaps; resolve promotions by precedence.</t>
  </si>
  <si>
    <t xml:space="preserve">P1-M4-06</t>
  </si>
  <si>
    <t xml:space="preserve">Payments: reconcile against priced lines + fees + tip; classify mismatches.</t>
  </si>
  <si>
    <t xml:space="preserve">P1-M4-07</t>
  </si>
  <si>
    <t xml:space="preserve">Reorder flag: rebuild from history; compare with the source flag; quarantine or flag disagreements.</t>
  </si>
  <si>
    <t xml:space="preserve">P1-M4-08</t>
  </si>
  <si>
    <t xml:space="preserve">Clickstream: dedupe on event id; handle late events; map sessions to orders; quarantine malformed events.</t>
  </si>
  <si>
    <t xml:space="preserve">P1-M4-09</t>
  </si>
  <si>
    <t xml:space="preserve">MERGE design for every current-state table: match key, newer-wins rule, collapse the batch first, delete handling.</t>
  </si>
  <si>
    <t xml:space="preserve">P1-M4-10</t>
  </si>
  <si>
    <t xml:space="preserve">Prove MERGE idempotency (apply the same batch twice).</t>
  </si>
  <si>
    <t xml:space="preserve">P1-M4-11</t>
  </si>
  <si>
    <t xml:space="preserve">Build quarantine tables with a reason-code catalog and rule version; decide reject / flag / count per rule.</t>
  </si>
  <si>
    <t xml:space="preserve">P1-M4-12</t>
  </si>
  <si>
    <t xml:space="preserve">Build and run the data-quality rule catalog (completeness, validity, uniqueness, referential, consistency, timeliness); store metrics per run.</t>
  </si>
  <si>
    <t xml:space="preserve">P1-M4-13</t>
  </si>
  <si>
    <t xml:space="preserve">Copy-on-write vs merge-on-read at 0.1%, 1%, 10% updates (write time, read time, delete files).</t>
  </si>
  <si>
    <t xml:space="preserve">P1-M4-14</t>
  </si>
  <si>
    <t xml:space="preserve">SCD2 build: MERGE in steps vs build changed rows then insert.</t>
  </si>
  <si>
    <t xml:space="preserve">P1-M4-15</t>
  </si>
  <si>
    <t xml:space="preserve">Price join: range join vs daily-expanded price table.</t>
  </si>
  <si>
    <t xml:space="preserve">P1-M4-16</t>
  </si>
  <si>
    <t xml:space="preserve">Dedup: arbitrary row vs deterministic latest.</t>
  </si>
  <si>
    <t xml:space="preserve">P1-M4-17</t>
  </si>
  <si>
    <t xml:space="preserve">Casting: strict (fail) vs try_* with quarantine.</t>
  </si>
  <si>
    <t xml:space="preserve">P1-M4-18</t>
  </si>
  <si>
    <t xml:space="preserve">Row accounting balances (bronze = silver + quarantined + deduplicated); SCD2 as-of queries correct; merges idempotent.</t>
  </si>
  <si>
    <t xml:space="preserve">P1-M5-01</t>
  </si>
  <si>
    <t xml:space="preserve">Write grain, inputs, pitfalls and invariants for every mart before building.</t>
  </si>
  <si>
    <t xml:space="preserve">P1-M5-02</t>
  </si>
  <si>
    <t xml:space="preserve">Mart: reorder rate by product, aisle, department (exclude orders with no lines; define denominators).</t>
  </si>
  <si>
    <t xml:space="preserve">P1-M5-03</t>
  </si>
  <si>
    <t xml:space="preserve">Mart: basket analytics (items per order, department mix, add-to-cart position vs reorder).</t>
  </si>
  <si>
    <t xml:space="preserve">P1-M5-04</t>
  </si>
  <si>
    <t xml:space="preserve">Mart: order cadence (gap distribution with capped gaps as censored; hour by weekday).</t>
  </si>
  <si>
    <t xml:space="preserve">P1-M5-05</t>
  </si>
  <si>
    <t xml:space="preserve">Mart: user 360 (recency, frequency, monetary; favorites; department vector).</t>
  </si>
  <si>
    <t xml:space="preserve">P1-M5-06</t>
  </si>
  <si>
    <t xml:space="preserve">Mart: cohorts (first-order month by order number; incomplete months).</t>
  </si>
  <si>
    <t xml:space="preserve">P1-M5-07</t>
  </si>
  <si>
    <t xml:space="preserve">Mart: top-N products per department per month (deterministic ties).</t>
  </si>
  <si>
    <t xml:space="preserve">P1-M5-08</t>
  </si>
  <si>
    <t xml:space="preserve">Mart: product co-occurrence (decide pruning and basket caps; see Project 2).</t>
  </si>
  <si>
    <t xml:space="preserve">P1-M5-09</t>
  </si>
  <si>
    <t xml:space="preserve">Mart: next-basket features (as-of date, last N orders, no leakage).</t>
  </si>
  <si>
    <t xml:space="preserve">P1-M5-10</t>
  </si>
  <si>
    <t xml:space="preserve">Choose a refresh strategy per mart: full rebuild, partition overwrite, MERGE, delete + insert.</t>
  </si>
  <si>
    <t xml:space="preserve">P1-M5-11</t>
  </si>
  <si>
    <t xml:space="preserve">Run each refresh strategy twice and diff the outputs (idempotency).</t>
  </si>
  <si>
    <t xml:space="preserve">P1-M5-12</t>
  </si>
  <si>
    <t xml:space="preserve">Layout: partition by date vs department; bucket by user; pre-aggregate; cache a shared input; sort order.</t>
  </si>
  <si>
    <t xml:space="preserve">P1-M5-13</t>
  </si>
  <si>
    <t xml:space="preserve">Every mart has a documented grain and passing invariants; three refresh strategies tried on one mart; reruns identical.</t>
  </si>
  <si>
    <t xml:space="preserve">P1-M6-01</t>
  </si>
  <si>
    <t xml:space="preserve">Time travel by snapshot id and by timestamp; compare a gold number before and after a load.</t>
  </si>
  <si>
    <t xml:space="preserve">P1-M6-02</t>
  </si>
  <si>
    <t xml:space="preserve">Load wrong data on purpose (for example a mis-versioned price book), detect it, roll back; record what was rolled back.</t>
  </si>
  <si>
    <t xml:space="preserve">P1-M6-03</t>
  </si>
  <si>
    <t xml:space="preserve">Schema evolution matrix: add nullable column, add with default meaning, rename, drop, widen a type, reorder; check old and new readers.</t>
  </si>
  <si>
    <t xml:space="preserve">P1-M6-04</t>
  </si>
  <si>
    <t xml:space="preserve">Partition evolution on lines (monthly -&gt; daily): confirm old files unchanged; read plans across both specs; decide on rewrite.</t>
  </si>
  <si>
    <t xml:space="preserve">P1-M6-05</t>
  </si>
  <si>
    <t xml:space="preserve">Branch and tag: stage a load on a branch, run the DQ suite, publish only if checks pass; tag month-end snapshots.</t>
  </si>
  <si>
    <t xml:space="preserve">P1-M6-06</t>
  </si>
  <si>
    <t xml:space="preserve">Define snapshot and tag retention policy.</t>
  </si>
  <si>
    <t xml:space="preserve">P1-M6-07</t>
  </si>
  <si>
    <t xml:space="preserve">A rollback restored a clean state; every evolution type has a recorded outcome; a failing check blocked a publish.</t>
  </si>
  <si>
    <t xml:space="preserve">P1-M7-01</t>
  </si>
  <si>
    <t xml:space="preserve">Baseline: file counts and sizes, manifest, snapshot and delete-file counts, scan time of three reference queries.</t>
  </si>
  <si>
    <t xml:space="preserve">P1-M7-02</t>
  </si>
  <si>
    <t xml:space="preserve">Create the mess (tiny appends, many merges producing delete files, many snapshots); re-measure.</t>
  </si>
  <si>
    <t xml:space="preserve">P1-M7-03</t>
  </si>
  <si>
    <t xml:space="preserve">Compaction: bin-pack vs sort vs z-order; target size; minimum input files.</t>
  </si>
  <si>
    <t xml:space="preserve">P1-M7-04</t>
  </si>
  <si>
    <t xml:space="preserve">Manifest rewrite: effect on planning time.</t>
  </si>
  <si>
    <t xml:space="preserve">P1-M7-05</t>
  </si>
  <si>
    <t xml:space="preserve">Delete-file compaction after merge-on-read.</t>
  </si>
  <si>
    <t xml:space="preserve">P1-M7-06</t>
  </si>
  <si>
    <t xml:space="preserve">Snapshot expiry: retention age and minimum snapshots kept (time travel lost vs storage returned).</t>
  </si>
  <si>
    <t xml:space="preserve">P1-M7-07</t>
  </si>
  <si>
    <t xml:space="preserve">Orphan removal: age threshold and safety with in-flight writes.</t>
  </si>
  <si>
    <t xml:space="preserve">P1-M7-08</t>
  </si>
  <si>
    <t xml:space="preserve">Order the actions into a schedule and test it with a writer running.</t>
  </si>
  <si>
    <t xml:space="preserve">P1-M7-09</t>
  </si>
  <si>
    <t xml:space="preserve">Write the runbook: cadence, triggers, safety rules, alerts.</t>
  </si>
  <si>
    <t xml:space="preserve">P1-M7-10</t>
  </si>
  <si>
    <t xml:space="preserve">Each action has a measured benefit; the schedule survives a concurrent writer; runbook written.</t>
  </si>
  <si>
    <t xml:space="preserve">P1-M8-01</t>
  </si>
  <si>
    <t xml:space="preserve">Draw the dependency graph; choose run ordering and retry rules.</t>
  </si>
  <si>
    <t xml:space="preserve">P1-M8-02</t>
  </si>
  <si>
    <t xml:space="preserve">Rerun tests: one day end to end, a failed middle step, a backfill of a past day (identical results).</t>
  </si>
  <si>
    <t xml:space="preserve">P1-M8-03</t>
  </si>
  <si>
    <t xml:space="preserve">Drill: kill a worker mid-write (no duplicate or partial data).</t>
  </si>
  <si>
    <t xml:space="preserve">P1-M8-04</t>
  </si>
  <si>
    <t xml:space="preserve">Drill: stop RustFS mid-commit (table unchanged; list leftover files).</t>
  </si>
  <si>
    <t xml:space="preserve">P1-M8-05</t>
  </si>
  <si>
    <t xml:space="preserve">Drill: stop Postgres mid-extract (no half-published extract; manifest absent).</t>
  </si>
  <si>
    <t xml:space="preserve">P1-M8-06</t>
  </si>
  <si>
    <t xml:space="preserve">Drill: kill the driver mid-merge (rerun applies exactly once).</t>
  </si>
  <si>
    <t xml:space="preserve">P1-M8-07</t>
  </si>
  <si>
    <t xml:space="preserve">Drill: corrupt a landing file (quarantine path; pipeline continues).</t>
  </si>
  <si>
    <t xml:space="preserve">P1-M8-08</t>
  </si>
  <si>
    <t xml:space="preserve">Reconciliation report across raw files, Postgres, landing, bronze, silver, gold (counts, key sets, totals); tie every difference to a defect-register entry.</t>
  </si>
  <si>
    <t xml:space="preserve">P1-M8-09</t>
  </si>
  <si>
    <t xml:space="preserve">List what to automate, monitor and alert on.</t>
  </si>
  <si>
    <t xml:space="preserve">P1-M8-10</t>
  </si>
  <si>
    <t xml:space="preserve">Every drill outcome matches prediction (or the surprise is explained); reconciliation has zero unexplained differences.</t>
  </si>
  <si>
    <t xml:space="preserve">Source: 02-joins-shuffle-skew.md.  Edit only the yellow cells: Status (dropdown), Started, Completed, Evidence / notes.</t>
  </si>
  <si>
    <t xml:space="preserve">P2-M0-01</t>
  </si>
  <si>
    <t xml:space="preserve">Freeze the data version: record Iceberg snapshot ids of lines, orders, products, aisles, departments, users, stores, price book, payments, events.</t>
  </si>
  <si>
    <t xml:space="preserve">P2-M0-02</t>
  </si>
  <si>
    <t xml:space="preserve">Define benchmark queries J1-J8 (reorder rate by dept/aisle; orders by store/day; revenue per store/day; top-10 products per user; co-occurrence; price range join; payments reconciliation; lake x Postgres).</t>
  </si>
  <si>
    <t xml:space="preserve">P2-M0-03</t>
  </si>
  <si>
    <t xml:space="preserve">Profile keys: share of rows held by top 1/10/100 keys (product, aisle, department, store, user, hour/weekday, basket size).</t>
  </si>
  <si>
    <t xml:space="preserve">P2-M0-04</t>
  </si>
  <si>
    <t xml:space="preserve">Build table variants: lines partitioned by month; lines and orders bucketed on order id (several bucket counts); compacted copies.</t>
  </si>
  <si>
    <t xml:space="preserve">P2-M0-05</t>
  </si>
  <si>
    <t xml:space="preserve">Record baselines: run J1-J8 with defaults twice; log time, shuffle bytes, spill, tasks, plan fingerprint.</t>
  </si>
  <si>
    <t xml:space="preserve">P2-M0-06</t>
  </si>
  <si>
    <t xml:space="preserve">Every query has a baseline and plan; key-skew table exists; variants compacted.</t>
  </si>
  <si>
    <t xml:space="preserve">P2-M1-01</t>
  </si>
  <si>
    <t xml:space="preserve">Annotate J1-J4 plans: scan, pushed filters, join type, exchange, sort, partial/final aggregate.</t>
  </si>
  <si>
    <t xml:space="preserve">P2-M1-02</t>
  </si>
  <si>
    <t xml:space="preserve">Predict join types and reasons before checking the plan.</t>
  </si>
  <si>
    <t xml:space="preserve">P2-M1-03</t>
  </si>
  <si>
    <t xml:space="preserve">Force sort-merge (disable auto-broadcast and AQE); count exchanges and sorts; compare time.</t>
  </si>
  <si>
    <t xml:space="preserve">P2-M1-04</t>
  </si>
  <si>
    <t xml:space="preserve">Re-enable AQE; find runtime changes in the final plan.</t>
  </si>
  <si>
    <t xml:space="preserve">P2-M1-05</t>
  </si>
  <si>
    <t xml:space="preserve">Note how Iceberg scans appear and which filters are pushed.</t>
  </si>
  <si>
    <t xml:space="preserve">P2-M1-06</t>
  </si>
  <si>
    <t xml:space="preserve">At least 80% of join-type predictions correct; mismatches explained.</t>
  </si>
  <si>
    <t xml:space="preserve">P2-M2-01</t>
  </si>
  <si>
    <t xml:space="preserve">Force broadcast, sort-merge and shuffle-hash on product/aisle/department joins; compare.</t>
  </si>
  <si>
    <t xml:space="preserve">P2-M2-02</t>
  </si>
  <si>
    <t xml:space="preserve">Find the largest broadcastable table given driver memory and broadcast timeout.</t>
  </si>
  <si>
    <t xml:space="preserve">P2-M2-03</t>
  </si>
  <si>
    <t xml:space="preserve">Compare shuffle-hash vs sort-merge where the build side fits (time, memory per task, spill).</t>
  </si>
  <si>
    <t xml:space="preserve">P2-M2-04</t>
  </si>
  <si>
    <t xml:space="preserve">Try the nested-loop hint on tiny inputs only.</t>
  </si>
  <si>
    <t xml:space="preserve">P2-M2-05</t>
  </si>
  <si>
    <t xml:space="preserve">Broadcast side sizes: 50k, 1M, 5M rows.</t>
  </si>
  <si>
    <t xml:space="preserve">P2-M2-06</t>
  </si>
  <si>
    <t xml:space="preserve">Auto-broadcast threshold: disabled / 10 MB / 100 MB.</t>
  </si>
  <si>
    <t xml:space="preserve">P2-M2-07</t>
  </si>
  <si>
    <t xml:space="preserve">Swap the build side by table order or hint.</t>
  </si>
  <si>
    <t xml:space="preserve">P2-M2-08</t>
  </si>
  <si>
    <t xml:space="preserve">Best strategy per query with its margin over the default.</t>
  </si>
  <si>
    <t xml:space="preserve">P2-M3-01</t>
  </si>
  <si>
    <t xml:space="preserve">Run J8 (lake lines x Postgres products and price book); read what was pushed vs pulled.</t>
  </si>
  <si>
    <t xml:space="preserve">P2-M3-02</t>
  </si>
  <si>
    <t xml:space="preserve">Run it twice and confirm Postgres is hit again each time.</t>
  </si>
  <si>
    <t xml:space="preserve">P2-M3-03</t>
  </si>
  <si>
    <t xml:space="preserve">Cached JDBC read.</t>
  </si>
  <si>
    <t xml:space="preserve">P2-M3-04</t>
  </si>
  <si>
    <t xml:space="preserve">Broadcast the JDBC read.</t>
  </si>
  <si>
    <t xml:space="preserve">P2-M3-05</t>
  </si>
  <si>
    <t xml:space="preserve">Snapshot the Postgres tables into Iceberg first.</t>
  </si>
  <si>
    <t xml:space="preserve">P2-M3-06</t>
  </si>
  <si>
    <t xml:space="preserve">Join inside Postgres via a pushed-down subquery.</t>
  </si>
  <si>
    <t xml:space="preserve">P2-M3-07</t>
  </si>
  <si>
    <t xml:space="preserve">Observe Postgres connections, queries, load, locks; test selective vs unselective cases.</t>
  </si>
  <si>
    <t xml:space="preserve">P2-M3-08</t>
  </si>
  <si>
    <t xml:space="preserve">Break-even rule written (queries per hour, data volume) for each approach.</t>
  </si>
  <si>
    <t xml:space="preserve">P2-M4-01</t>
  </si>
  <si>
    <t xml:space="preserve">Aggregate and join on product, department, aisle, store, hour and the bulk buyer; record min/median/max task time, slowest-task shuffle read vs median, spill.</t>
  </si>
  <si>
    <t xml:space="preserve">P2-M4-02</t>
  </si>
  <si>
    <t xml:space="preserve">Show skew in four places: a join, a window by user, a MERGE with a hot source key, uneven JDBC partitions.</t>
  </si>
  <si>
    <t xml:space="preserve">P2-M4-03</t>
  </si>
  <si>
    <t xml:space="preserve">Contrast high-cardinality skew (hot product) with low-cardinality skew (21 departments): idle partitions.</t>
  </si>
  <si>
    <t xml:space="preserve">P2-M4-04</t>
  </si>
  <si>
    <t xml:space="preserve">Write the skew checklist (UI signals + key-profile signals).</t>
  </si>
  <si>
    <t xml:space="preserve">P2-M4-05</t>
  </si>
  <si>
    <t xml:space="preserve">Cause identified from the UI alone in all four cases.</t>
  </si>
  <si>
    <t xml:space="preserve">P2-M5-01</t>
  </si>
  <si>
    <t xml:space="preserve">AQE skew handling: lower thresholds, find skew markers, note where it does not apply.</t>
  </si>
  <si>
    <t xml:space="preserve">P2-M5-02</t>
  </si>
  <si>
    <t xml:space="preserve">Salting with factors 4, 8, 32 (joins; two-phase aggregations).</t>
  </si>
  <si>
    <t xml:space="preserve">P2-M5-03</t>
  </si>
  <si>
    <t xml:space="preserve">Hot-key isolation: broadcast top K keys, shuffle the rest, union.</t>
  </si>
  <si>
    <t xml:space="preserve">P2-M5-04</t>
  </si>
  <si>
    <t xml:space="preserve">Pre-aggregation to product-and-day grain.</t>
  </si>
  <si>
    <t xml:space="preserve">P2-M5-05</t>
  </si>
  <si>
    <t xml:space="preserve">Denormalize the dimension into the lines table.</t>
  </si>
  <si>
    <t xml:space="preserve">P2-M5-06</t>
  </si>
  <si>
    <t xml:space="preserve">Repeat the best fixes for an aggregation and for a MERGE.</t>
  </si>
  <si>
    <t xml:space="preserve">P2-M5-07</t>
  </si>
  <si>
    <t xml:space="preserve">Build the comparison table: time, max/median ratio, shuffle bytes, spill, complexity.</t>
  </si>
  <si>
    <t xml:space="preserve">P2-M5-08</t>
  </si>
  <si>
    <t xml:space="preserve">Chosen fix for a join, an aggregation and a MERGE, each with evidence.</t>
  </si>
  <si>
    <t xml:space="preserve">P2-M6-01</t>
  </si>
  <si>
    <t xml:space="preserve">Predict the pair count from the basket-size distribution.</t>
  </si>
  <si>
    <t xml:space="preserve">P2-M6-02</t>
  </si>
  <si>
    <t xml:space="preserve">Check on a small sample; measure at M if feasible.</t>
  </si>
  <si>
    <t xml:space="preserve">P2-M6-03</t>
  </si>
  <si>
    <t xml:space="preserve">Explain why a few huge baskets dominate pair counts, shuffle size and spill.</t>
  </si>
  <si>
    <t xml:space="preserve">P2-M6-04</t>
  </si>
  <si>
    <t xml:space="preserve">Cap or sample huge baskets.</t>
  </si>
  <si>
    <t xml:space="preserve">P2-M6-05</t>
  </si>
  <si>
    <t xml:space="preserve">Prune to frequent products before pairing.</t>
  </si>
  <si>
    <t xml:space="preserve">P2-M6-06</t>
  </si>
  <si>
    <t xml:space="preserve">Canonical pair order (halve the work).</t>
  </si>
  <si>
    <t xml:space="preserve">P2-M6-07</t>
  </si>
  <si>
    <t xml:space="preserve">Partial pre-aggregation per pair.</t>
  </si>
  <si>
    <t xml:space="preserve">P2-M6-08</t>
  </si>
  <si>
    <t xml:space="preserve">Split by department and combine.</t>
  </si>
  <si>
    <t xml:space="preserve">P2-M6-09</t>
  </si>
  <si>
    <t xml:space="preserve">Mark each fix: changes the answer vs changes only the plan.</t>
  </si>
  <si>
    <t xml:space="preserve">P2-M6-10</t>
  </si>
  <si>
    <t xml:space="preserve">Same top pairs from at least two methods, with documented cost and accuracy difference.</t>
  </si>
  <si>
    <t xml:space="preserve">P2-M7-01</t>
  </si>
  <si>
    <t xml:space="preserve">Price each line from the effective-dated price book; record the join type.</t>
  </si>
  <si>
    <t xml:space="preserve">P2-M7-02</t>
  </si>
  <si>
    <t xml:space="preserve">Expanded daily price table + equi-join.</t>
  </si>
  <si>
    <t xml:space="preserve">P2-M7-03</t>
  </si>
  <si>
    <t xml:space="preserve">Time-bucket (weeks) join then filter.</t>
  </si>
  <si>
    <t xml:space="preserve">P2-M7-04</t>
  </si>
  <si>
    <t xml:space="preserve">Sorted as-of lookup.</t>
  </si>
  <si>
    <t xml:space="preserve">P2-M7-05</t>
  </si>
  <si>
    <t xml:space="preserve">Broadcast the price book.</t>
  </si>
  <si>
    <t xml:space="preserve">P2-M7-06</t>
  </si>
  <si>
    <t xml:space="preserve">Repeat with the campaign calendar.</t>
  </si>
  <si>
    <t xml:space="preserve">P2-M7-07</t>
  </si>
  <si>
    <t xml:space="preserve">Test at M, then L; verify identical results on a sample.</t>
  </si>
  <si>
    <t xml:space="preserve">P2-M7-08</t>
  </si>
  <si>
    <t xml:space="preserve">One approach runs in reasonable time at L with verified identical results.</t>
  </si>
  <si>
    <t xml:space="preserve">P2-M8-01</t>
  </si>
  <si>
    <t xml:space="preserve">AQE off: sweep shuffle partitions 8 to 1000 on J1, J3, J4 and plot time.</t>
  </si>
  <si>
    <t xml:space="preserve">P2-M8-02</t>
  </si>
  <si>
    <t xml:space="preserve">AQE on: vary advisory size 16 MB to 256 MB; find coalesced reads in the plan.</t>
  </si>
  <si>
    <t xml:space="preserve">P2-M8-03</t>
  </si>
  <si>
    <t xml:space="preserve">Write distribution modes none / hash / range (shuffle cost, files per partition, file sizes).</t>
  </si>
  <si>
    <t xml:space="preserve">P2-M8-04</t>
  </si>
  <si>
    <t xml:space="preserve">Write down how shuffle partitions x distribution mode x table partitioning decide output file count; test it.</t>
  </si>
  <si>
    <t xml:space="preserve">P2-M8-05</t>
  </si>
  <si>
    <t xml:space="preserve">You can predict the file count of a write before running it.</t>
  </si>
  <si>
    <t xml:space="preserve">P2-M9-01</t>
  </si>
  <si>
    <t xml:space="preserve">Build orders and lines bucketed identically on order id (same bucket count).</t>
  </si>
  <si>
    <t xml:space="preserve">P2-M9-02</t>
  </si>
  <si>
    <t xml:space="preserve">Enable the required Spark and Iceberg settings (check docs for your version).</t>
  </si>
  <si>
    <t xml:space="preserve">P2-M9-03</t>
  </si>
  <si>
    <t xml:space="preserve">Confirm no exchange on either side; compare time with a regular join.</t>
  </si>
  <si>
    <t xml:space="preserve">P2-M9-04</t>
  </si>
  <si>
    <t xml:space="preserve">Break it: different bucket counts.</t>
  </si>
  <si>
    <t xml:space="preserve">P2-M9-05</t>
  </si>
  <si>
    <t xml:space="preserve">Break it: extra partition column.</t>
  </si>
  <si>
    <t xml:space="preserve">P2-M9-06</t>
  </si>
  <si>
    <t xml:space="preserve">Break it: different join key.</t>
  </si>
  <si>
    <t xml:space="preserve">P2-M9-07</t>
  </si>
  <si>
    <t xml:space="preserve">Break it: one side unbucketed.</t>
  </si>
  <si>
    <t xml:space="preserve">P2-M9-08</t>
  </si>
  <si>
    <t xml:space="preserve">Compare with Hive-style bucketing.</t>
  </si>
  <si>
    <t xml:space="preserve">P2-M9-09</t>
  </si>
  <si>
    <t xml:space="preserve">Recommend a bucket count; note the design-time cost.</t>
  </si>
  <si>
    <t xml:space="preserve">P2-M9-10</t>
  </si>
  <si>
    <t xml:space="preserve">List of conditions under which the optimization applies.</t>
  </si>
  <si>
    <t xml:space="preserve">P2-M10-01</t>
  </si>
  <si>
    <t xml:space="preserve">Large sort / aggregation / merge with small executors and few partitions; record spill and GC.</t>
  </si>
  <si>
    <t xml:space="preserve">P2-M10-02</t>
  </si>
  <si>
    <t xml:space="preserve">Fix: more partitions.</t>
  </si>
  <si>
    <t xml:space="preserve">P2-M10-03</t>
  </si>
  <si>
    <t xml:space="preserve">Fix: fewer cores per executor.</t>
  </si>
  <si>
    <t xml:space="preserve">P2-M10-04</t>
  </si>
  <si>
    <t xml:space="preserve">Fix: larger execution memory share.</t>
  </si>
  <si>
    <t xml:space="preserve">P2-M10-05</t>
  </si>
  <si>
    <t xml:space="preserve">Fix: project early (narrower rows).</t>
  </si>
  <si>
    <t xml:space="preserve">P2-M10-06</t>
  </si>
  <si>
    <t xml:space="preserve">Repeat for a MERGE; compare copy-on-write and merge-on-read memory behavior.</t>
  </si>
  <si>
    <t xml:space="preserve">P2-M10-07</t>
  </si>
  <si>
    <t xml:space="preserve">Rank the fixes by effect per effort.</t>
  </si>
  <si>
    <t xml:space="preserve">P2-M10-08</t>
  </si>
  <si>
    <t xml:space="preserve">Each spill explained and matched to the fix that addressed it.</t>
  </si>
  <si>
    <t xml:space="preserve">P2-M11-01</t>
  </si>
  <si>
    <t xml:space="preserve">Non-equi joins and joins on expressions (for example a normalized product name).</t>
  </si>
  <si>
    <t xml:space="preserve">P2-M11-02</t>
  </si>
  <si>
    <t xml:space="preserve">distinct before a join.</t>
  </si>
  <si>
    <t xml:space="preserve">P2-M11-03</t>
  </si>
  <si>
    <t xml:space="preserve">Cartesian product from a missing condition.</t>
  </si>
  <si>
    <t xml:space="preserve">P2-M11-04</t>
  </si>
  <si>
    <t xml:space="preserve">Whole-history window that could be bounded.</t>
  </si>
  <si>
    <t xml:space="preserve">P2-M11-05</t>
  </si>
  <si>
    <t xml:space="preserve">Unnecessary sort or repartition before a write.</t>
  </si>
  <si>
    <t xml:space="preserve">P2-M11-06</t>
  </si>
  <si>
    <t xml:space="preserve">Join key type mismatch causing casts.</t>
  </si>
  <si>
    <t xml:space="preserve">P2-M11-07</t>
  </si>
  <si>
    <t xml:space="preserve">Each pattern has plan, symptom and fix recorded.</t>
  </si>
  <si>
    <t xml:space="preserve">P2-M12-01</t>
  </si>
  <si>
    <t xml:space="preserve">Write the one-page decision tree (sizes, skew, join type, freshness -&gt; strategy, settings, table design) with experiment ids.</t>
  </si>
  <si>
    <t xml:space="preserve">P2-M12-02</t>
  </si>
  <si>
    <t xml:space="preserve">Predictions made before running; each fix has numbers; you can design a table to make a given join cheap.</t>
  </si>
  <si>
    <t xml:space="preserve">Source: 03-catalyst-and-query-planning.md.  Edit only the yellow cells: Status (dropdown), Started, Completed, Evidence / notes.</t>
  </si>
  <si>
    <t xml:space="preserve">P3-M0-01</t>
  </si>
  <si>
    <t xml:space="preserve">Build lines/events variants: unsorted monthly-partitioned; sorted by product; z-ordered (department, hour); unpartitioned sorted; raw Parquet copy in landing.</t>
  </si>
  <si>
    <t xml:space="preserve">P3-M0-02</t>
  </si>
  <si>
    <t xml:space="preserve">Compact every variant to the same target file size.</t>
  </si>
  <si>
    <t xml:space="preserve">P3-M0-03</t>
  </si>
  <si>
    <t xml:space="preserve">Define Q1-Q12 (point lookup, low selectivity, date + hour, five-way join with selective dimension, bad join order, metadata-only aggregates, window by user, sampled pairs, price range join, JDBC filter + aggregate, UDF in filter, wide vs narrow select).</t>
  </si>
  <si>
    <t xml:space="preserve">P3-M0-04</t>
  </si>
  <si>
    <t xml:space="preserve">Record baselines: time, bytes read, files scanned, plan fingerprint.</t>
  </si>
  <si>
    <t xml:space="preserve">P3-M0-05</t>
  </si>
  <si>
    <t xml:space="preserve">All variants exist and are compacted; suite runs and is logged.</t>
  </si>
  <si>
    <t xml:space="preserve">P3-M1-01</t>
  </si>
  <si>
    <t xml:space="preserve">Predict Q1-Q4 plans (scan, pushed filters, joins, exchanges) before reading them.</t>
  </si>
  <si>
    <t xml:space="preserve">P3-M1-02</t>
  </si>
  <si>
    <t xml:space="preserve">Read parsed, analyzed, optimized and physical plans; compare with predictions.</t>
  </si>
  <si>
    <t xml:space="preserve">P3-M1-03</t>
  </si>
  <si>
    <t xml:space="preserve">Find constant folding, column pruning, predicate pushdown through a join, limit pushdown.</t>
  </si>
  <si>
    <t xml:space="preserve">P3-M1-04</t>
  </si>
  <si>
    <t xml:space="preserve">Learn every scan-node field (pushed, read, remaining).</t>
  </si>
  <si>
    <t xml:space="preserve">P3-M1-05</t>
  </si>
  <si>
    <t xml:space="preserve">Turn off one optimizer rule on a tiny sample; observe; restore.</t>
  </si>
  <si>
    <t xml:space="preserve">P3-M1-06</t>
  </si>
  <si>
    <t xml:space="preserve">Compare how Iceberg, JDBC and raw Parquet scans look in plans.</t>
  </si>
  <si>
    <t xml:space="preserve">P3-M1-07</t>
  </si>
  <si>
    <t xml:space="preserve">Learn plan formats: formatted, cost, codegen, SQL tab graph.</t>
  </si>
  <si>
    <t xml:space="preserve">P3-M1-08</t>
  </si>
  <si>
    <t xml:space="preserve">At least 80% of plan-feature predictions correct.</t>
  </si>
  <si>
    <t xml:space="preserve">P3-M2-01</t>
  </si>
  <si>
    <t xml:space="preserve">Q1/Q3 on the partitioned variant: confirm a timestamp filter prunes without naming a partition column (hidden partitioning).</t>
  </si>
  <si>
    <t xml:space="preserve">P3-M2-02</t>
  </si>
  <si>
    <t xml:space="preserve">Compare file-level skipping (min/max) across unsorted, sorted and z-ordered variants for equality and range filters.</t>
  </si>
  <si>
    <t xml:space="preserve">P3-M2-03</t>
  </si>
  <si>
    <t xml:space="preserve">Prove files and bytes scanned vs total with the metadata tables.</t>
  </si>
  <si>
    <t xml:space="preserve">P3-M2-04</t>
  </si>
  <si>
    <t xml:space="preserve">Compare planning vs execution time; build a many-manifest table to test.</t>
  </si>
  <si>
    <t xml:space="preserve">P3-M2-05</t>
  </si>
  <si>
    <t xml:space="preserve">Q6: can count, min and max be answered from metadata in your versions?</t>
  </si>
  <si>
    <t xml:space="preserve">P3-M2-06</t>
  </si>
  <si>
    <t xml:space="preserve">Q2: explain why pruning helps little for a low-selectivity filter.</t>
  </si>
  <si>
    <t xml:space="preserve">P3-M2-07</t>
  </si>
  <si>
    <t xml:space="preserve">Partition transform: month / day / bucket / none.</t>
  </si>
  <si>
    <t xml:space="preserve">P3-M2-08</t>
  </si>
  <si>
    <t xml:space="preserve">File size: small / target / large (planning time, RustFS requests).</t>
  </si>
  <si>
    <t xml:space="preserve">P3-M2-09</t>
  </si>
  <si>
    <t xml:space="preserve">Filter shapes: equality, range, IN list, OR.</t>
  </si>
  <si>
    <t xml:space="preserve">P3-M2-10</t>
  </si>
  <si>
    <t xml:space="preserve">For each query: files skipped, which metadata enabled it, how to improve it.</t>
  </si>
  <si>
    <t xml:space="preserve">P3-M3-01</t>
  </si>
  <si>
    <t xml:space="preserve">Q4 with a selective dimension filter; look for runtime partition pruning and bloom-filter runtime filters.</t>
  </si>
  <si>
    <t xml:space="preserve">P3-M3-02</t>
  </si>
  <si>
    <t xml:space="preserve">Toggle each runtime filter setting; record rows scanned and time.</t>
  </si>
  <si>
    <t xml:space="preserve">P3-M3-03</t>
  </si>
  <si>
    <t xml:space="preserve">Find when the filter is not inserted (non-selective, large build side, unsupported join, unpartitioned fact).</t>
  </si>
  <si>
    <t xml:space="preserve">P3-M3-04</t>
  </si>
  <si>
    <t xml:space="preserve">Compare with a manual rewrite (explicit filter on the fact table).</t>
  </si>
  <si>
    <t xml:space="preserve">P3-M3-05</t>
  </si>
  <si>
    <t xml:space="preserve">Conditions that trigger each runtime filter described for your tables.</t>
  </si>
  <si>
    <t xml:space="preserve">P3-M4-01</t>
  </si>
  <si>
    <t xml:space="preserve">Q5 with cost-based optimization off: record join order and time.</t>
  </si>
  <si>
    <t xml:space="preserve">P3-M4-02</t>
  </si>
  <si>
    <t xml:space="preserve">Collect table and column statistics; enable CBO and join reordering; re-run.</t>
  </si>
  <si>
    <t xml:space="preserve">P3-M4-03</t>
  </si>
  <si>
    <t xml:space="preserve">Read the cost plan; compare estimates with actuals; explain the worst misestimate.</t>
  </si>
  <si>
    <t xml:space="preserve">P3-M4-04</t>
  </si>
  <si>
    <t xml:space="preserve">Histograms on a skewed column (department).</t>
  </si>
  <si>
    <t xml:space="preserve">P3-M4-05</t>
  </si>
  <si>
    <t xml:space="preserve">Stale vs refreshed statistics after adding a day of data.</t>
  </si>
  <si>
    <t xml:space="preserve">P3-M4-06</t>
  </si>
  <si>
    <t xml:space="preserve">Find which statistics Iceberg and Spark actually use in your versions.</t>
  </si>
  <si>
    <t xml:space="preserve">P3-M4-07</t>
  </si>
  <si>
    <t xml:space="preserve">When CBO helped, when it hurt, and what upkeep it needs.</t>
  </si>
  <si>
    <t xml:space="preserve">P3-M5-01</t>
  </si>
  <si>
    <t xml:space="preserve">Equality or range filter on an indexed column: pushed? index used?</t>
  </si>
  <si>
    <t xml:space="preserve">P3-M5-02</t>
  </si>
  <si>
    <t xml:space="preserve">Same filter on the unindexed timestamp: sequential scan cost at M.</t>
  </si>
  <si>
    <t xml:space="preserve">P3-M5-03</t>
  </si>
  <si>
    <t xml:space="preserve">Aggregate over the table: pushed or pulled across?</t>
  </si>
  <si>
    <t xml:space="preserve">P3-M5-04</t>
  </si>
  <si>
    <t xml:space="preserve">Limit and offset: pushed? ordering issues.</t>
  </si>
  <si>
    <t xml:space="preserve">P3-M5-05</t>
  </si>
  <si>
    <t xml:space="preserve">Sampling: pushed?</t>
  </si>
  <si>
    <t xml:space="preserve">P3-M5-06</t>
  </si>
  <si>
    <t xml:space="preserve">Filter with a Spark-only function or UDF: why pushdown fails.</t>
  </si>
  <si>
    <t xml:space="preserve">P3-M5-07</t>
  </si>
  <si>
    <t xml:space="preserve">Cast on a filtered column: blocks index use?</t>
  </si>
  <si>
    <t xml:space="preserve">P3-M5-08</t>
  </si>
  <si>
    <t xml:space="preserve">Partitioned read with explicit predicates: does each partition hit an index?</t>
  </si>
  <si>
    <t xml:space="preserve">P3-M5-09</t>
  </si>
  <si>
    <t xml:space="preserve">Reading a view or arbitrary query: how aliasing changes planning.</t>
  </si>
  <si>
    <t xml:space="preserve">P3-M5-10</t>
  </si>
  <si>
    <t xml:space="preserve">For each case capture three views: Spark plan, SQL text Postgres received, Postgres execution plan.</t>
  </si>
  <si>
    <t xml:space="preserve">P3-M5-11</t>
  </si>
  <si>
    <t xml:space="preserve">Toggle each pushdown option; record rows transferred and time.</t>
  </si>
  <si>
    <t xml:space="preserve">P3-M5-12</t>
  </si>
  <si>
    <t xml:space="preserve">Write the rule of thumb: logic in Postgres vs logic in Spark.</t>
  </si>
  <si>
    <t xml:space="preserve">P3-M5-13</t>
  </si>
  <si>
    <t xml:space="preserve">Pushdown matrix complete with evidence for every row.</t>
  </si>
  <si>
    <t xml:space="preserve">P3-M6-01</t>
  </si>
  <si>
    <t xml:space="preserve">Build a query where one side looks large at plan time but small after filtering; compare initial vs final plan.</t>
  </si>
  <si>
    <t xml:space="preserve">P3-M6-02</t>
  </si>
  <si>
    <t xml:space="preserve">Record which AQE features fired (coalesce, local reader, skew, join switch).</t>
  </si>
  <si>
    <t xml:space="preserve">P3-M6-03</t>
  </si>
  <si>
    <t xml:space="preserve">Disable each AQE feature in turn and measure.</t>
  </si>
  <si>
    <t xml:space="preserve">P3-M6-04</t>
  </si>
  <si>
    <t xml:space="preserve">Find a case where AQE does not help.</t>
  </si>
  <si>
    <t xml:space="preserve">P3-M6-05</t>
  </si>
  <si>
    <t xml:space="preserve">You can predict which AQE features fire for a given query.</t>
  </si>
  <si>
    <t xml:space="preserve">P3-M7-01</t>
  </si>
  <si>
    <t xml:space="preserve">Find the codegen stage markers in a filter, project and aggregate.</t>
  </si>
  <si>
    <t xml:space="preserve">P3-M7-02</t>
  </si>
  <si>
    <t xml:space="preserve">Disable whole-stage codegen on a CPU-bound query and compare.</t>
  </si>
  <si>
    <t xml:space="preserve">P3-M7-03</t>
  </si>
  <si>
    <t xml:space="preserve">200+ column table: does codegen fall back? What does the plan show?</t>
  </si>
  <si>
    <t xml:space="preserve">P3-M7-04</t>
  </si>
  <si>
    <t xml:space="preserve">Note operators that break codegen stages.</t>
  </si>
  <si>
    <t xml:space="preserve">P3-M7-05</t>
  </si>
  <si>
    <t xml:space="preserve">Speed difference and fallback rule explained.</t>
  </si>
  <si>
    <t xml:space="preserve">P3-M8-01</t>
  </si>
  <si>
    <t xml:space="preserve">Python UDF inside a filter (Q11) -&gt; rewrite with built-ins.</t>
  </si>
  <si>
    <t xml:space="preserve">P3-M8-02</t>
  </si>
  <si>
    <t xml:space="preserve">Expression on the filtered column (casts, formatting) -&gt; sargable predicate.</t>
  </si>
  <si>
    <t xml:space="preserve">P3-M8-03</t>
  </si>
  <si>
    <t xml:space="preserve">OR across partition and non-partition columns -&gt; split and union.</t>
  </si>
  <si>
    <t xml:space="preserve">P3-M8-04</t>
  </si>
  <si>
    <t xml:space="preserve">Non-deterministic function in a filter -&gt; move after the join.</t>
  </si>
  <si>
    <t xml:space="preserve">P3-M8-05</t>
  </si>
  <si>
    <t xml:space="preserve">Cached table hides the scan -&gt; cache only narrowed data.</t>
  </si>
  <si>
    <t xml:space="preserve">P3-M8-06</t>
  </si>
  <si>
    <t xml:space="preserve">Wide select into a wide join -&gt; project early.</t>
  </si>
  <si>
    <t xml:space="preserve">P3-M8-07</t>
  </si>
  <si>
    <t xml:space="preserve">Many small files or manifests -&gt; compact; rewrite manifests.</t>
  </si>
  <si>
    <t xml:space="preserve">P3-M8-08</t>
  </si>
  <si>
    <t xml:space="preserve">Self-join of lines for co-occurrence -&gt; prune to frequent products and cap baskets.</t>
  </si>
  <si>
    <t xml:space="preserve">P3-M8-09</t>
  </si>
  <si>
    <t xml:space="preserve">Filter on an unindexed Postgres column -&gt; add index or move work to the lake.</t>
  </si>
  <si>
    <t xml:space="preserve">P3-M8-10</t>
  </si>
  <si>
    <t xml:space="preserve">Join on a normalized product name -&gt; normalize once in silver.</t>
  </si>
  <si>
    <t xml:space="preserve">P3-M8-11</t>
  </si>
  <si>
    <t xml:space="preserve">Range join to the price book -&gt; expand to daily rows and equi-join.</t>
  </si>
  <si>
    <t xml:space="preserve">P3-M8-12</t>
  </si>
  <si>
    <t xml:space="preserve">Every pitfall has a measured before and after.</t>
  </si>
  <si>
    <t xml:space="preserve">P3-M9-01</t>
  </si>
  <si>
    <t xml:space="preserve">Sort order: product vs order date vs z-order for Q1, Q2, Q3, Q12.</t>
  </si>
  <si>
    <t xml:space="preserve">P3-M9-02</t>
  </si>
  <si>
    <t xml:space="preserve">Parquet settings: row-group size, page size, compression, dictionary encoding; column bloom filters for a high-cardinality lookup.</t>
  </si>
  <si>
    <t xml:space="preserve">P3-M9-03</t>
  </si>
  <si>
    <t xml:space="preserve">Format: Iceberg/Parquet vs ORC vs raw landing Parquet.</t>
  </si>
  <si>
    <t xml:space="preserve">P3-M9-04</t>
  </si>
  <si>
    <t xml:space="preserve">File size 32 MB vs 128 MB vs 512 MB (RustFS requests, planning time).</t>
  </si>
  <si>
    <t xml:space="preserve">P3-M9-05</t>
  </si>
  <si>
    <t xml:space="preserve">Compaction strategy: query speed per rewrite cost.</t>
  </si>
  <si>
    <t xml:space="preserve">P3-M9-06</t>
  </si>
  <si>
    <t xml:space="preserve">Capture RustFS request count and throughput per layout.</t>
  </si>
  <si>
    <t xml:space="preserve">P3-M9-07</t>
  </si>
  <si>
    <t xml:space="preserve">Layout recommended for point lookup, range scan and full scan, with numbers.</t>
  </si>
  <si>
    <t xml:space="preserve">P3-M10-01</t>
  </si>
  <si>
    <t xml:space="preserve">Write the one-page planner cheat sheet (reading each scan type, first checks, top ten blockers, top five layout rules) with experiment ids.</t>
  </si>
  <si>
    <t xml:space="preserve">P3-M10-02</t>
  </si>
  <si>
    <t xml:space="preserve">You can read a plan and predict runtime behavior; every pruning and pushdown claim has evidence.</t>
  </si>
  <si>
    <t xml:space="preserve">Source: 04-executors-memory-io-performance.md.  Edit only the yellow cells: Status (dropdown), Started, Completed, Evidence / notes.</t>
  </si>
  <si>
    <t xml:space="preserve">P4-M0-01</t>
  </si>
  <si>
    <t xml:space="preserve">Define W1-W6: scan-heavy, shuffle-heavy, CPU-heavy (per-line score), memory-heavy (cache + wide aggregation), write-heavy (layout rewrite), mixed user-feature build.</t>
  </si>
  <si>
    <t xml:space="preserve">P4-M0-02</t>
  </si>
  <si>
    <t xml:space="preserve">Instrument every run with Spark UI, Iceberg metadata, RustFS, Postgres and host CPU/memory/disk.</t>
  </si>
  <si>
    <t xml:space="preserve">P4-M0-03</t>
  </si>
  <si>
    <t xml:space="preserve">Record baselines with the default layout, twice each.</t>
  </si>
  <si>
    <t xml:space="preserve">P4-M0-04</t>
  </si>
  <si>
    <t xml:space="preserve">Classify each workload by apparent bottleneck (to test later).</t>
  </si>
  <si>
    <t xml:space="preserve">P4-M0-05</t>
  </si>
  <si>
    <t xml:space="preserve">Each workload has a stable baseline (under 10% variation) and a first bottleneck guess.</t>
  </si>
  <si>
    <t xml:space="preserve">P4-M1-01</t>
  </si>
  <si>
    <t xml:space="preserve">Layout: 4 executors x (2 cores, 1 GB).</t>
  </si>
  <si>
    <t xml:space="preserve">P4-M1-02</t>
  </si>
  <si>
    <t xml:space="preserve">Layout: 8 executors x (1 core, 1 GB).</t>
  </si>
  <si>
    <t xml:space="preserve">P4-M1-03</t>
  </si>
  <si>
    <t xml:space="preserve">Layout: 4 executors x (2 cores, 2 GB).</t>
  </si>
  <si>
    <t xml:space="preserve">P4-M1-04</t>
  </si>
  <si>
    <t xml:space="preserve">Layout: 8 executors x (1 core, 512 MB).</t>
  </si>
  <si>
    <t xml:space="preserve">P4-M1-05</t>
  </si>
  <si>
    <t xml:space="preserve">Run W1-W4 on each layout; record time, spill, GC.</t>
  </si>
  <si>
    <t xml:space="preserve">P4-M1-06</t>
  </si>
  <si>
    <t xml:space="preserve">Strong scaling with 1, 2, 4, 8 total cores; compute speedup and efficiency; find where it flattens.</t>
  </si>
  <si>
    <t xml:space="preserve">P4-M1-07</t>
  </si>
  <si>
    <t xml:space="preserve">Diagnose the flat part: CPU-bound, storage-bound, source-bound or shuffle-bound.</t>
  </si>
  <si>
    <t xml:space="preserve">P4-M1-08</t>
  </si>
  <si>
    <t xml:space="preserve">Compare best layout for shuffle-heavy vs scan-heavy; note memory per task.</t>
  </si>
  <si>
    <t xml:space="preserve">P4-M1-09</t>
  </si>
  <si>
    <t xml:space="preserve">Scaling curve for each workload and a named bottleneck.</t>
  </si>
  <si>
    <t xml:space="preserve">P4-M2-01</t>
  </si>
  <si>
    <t xml:space="preserve">Read the Executors tab: storage memory, execution memory, GC time per task.</t>
  </si>
  <si>
    <t xml:space="preserve">P4-M2-02</t>
  </si>
  <si>
    <t xml:space="preserve">Run W4; record cached fraction, spill and GC share.</t>
  </si>
  <si>
    <t xml:space="preserve">P4-M2-03</t>
  </si>
  <si>
    <t xml:space="preserve">spark.memory.fraction: 0.4 / 0.6 / 0.8.</t>
  </si>
  <si>
    <t xml:space="preserve">P4-M2-04</t>
  </si>
  <si>
    <t xml:space="preserve">spark.memory.storageFraction: 0.2 / 0.5 / 0.8.</t>
  </si>
  <si>
    <t xml:space="preserve">P4-M2-05</t>
  </si>
  <si>
    <t xml:space="preserve">Off-heap memory: off vs on with a fixed size.</t>
  </si>
  <si>
    <t xml:space="preserve">P4-M2-06</t>
  </si>
  <si>
    <t xml:space="preserve">GC algorithm via executor Java options: default vs parallel.</t>
  </si>
  <si>
    <t xml:space="preserve">P4-M2-07</t>
  </si>
  <si>
    <t xml:space="preserve">Executor memory: 512m / 1g / 2g.</t>
  </si>
  <si>
    <t xml:space="preserve">P4-M2-08</t>
  </si>
  <si>
    <t xml:space="preserve">Cause an out-of-memory failure on purpose; learn its signature in the error and UI.</t>
  </si>
  <si>
    <t xml:space="preserve">P4-M2-09</t>
  </si>
  <si>
    <t xml:space="preserve">Note that memory overhead is not enforced in standalone; record the implication for YARN/Kubernetes.</t>
  </si>
  <si>
    <t xml:space="preserve">P4-M2-10</t>
  </si>
  <si>
    <t xml:space="preserve">From task metrics you can say whether memory, GC or spill is the issue and what to change.</t>
  </si>
  <si>
    <t xml:space="preserve">P4-M3-01</t>
  </si>
  <si>
    <t xml:space="preserve">Same aggregation: group-by-key vs reduce-by-key vs DataFrame (shuffle bytes, time).</t>
  </si>
  <si>
    <t xml:space="preserve">P4-M3-02</t>
  </si>
  <si>
    <t xml:space="preserve">Switch the serializer and explain why DataFrames barely change.</t>
  </si>
  <si>
    <t xml:space="preserve">P4-M3-03</t>
  </si>
  <si>
    <t xml:space="preserve">Persistence levels on an RDD and a DataFrame cache.</t>
  </si>
  <si>
    <t xml:space="preserve">P4-M3-04</t>
  </si>
  <si>
    <t xml:space="preserve">Shuffle compression codecs: lz4 / zstd / snappy on W2.</t>
  </si>
  <si>
    <t xml:space="preserve">P4-M3-05</t>
  </si>
  <si>
    <t xml:space="preserve">Shuffle buffer settings.</t>
  </si>
  <si>
    <t xml:space="preserve">P4-M3-06</t>
  </si>
  <si>
    <t xml:space="preserve">Rules for when RDD tricks help and when to stay with DataFrames.</t>
  </si>
  <si>
    <t xml:space="preserve">P4-M4-01</t>
  </si>
  <si>
    <t xml:space="preserve">Choose two per-row computations: math-heavy reorder-propensity score and product-name normalization + tokenization.</t>
  </si>
  <si>
    <t xml:space="preserve">P4-M4-02</t>
  </si>
  <si>
    <t xml:space="preserve">Rung 1: built-in functions.</t>
  </si>
  <si>
    <t xml:space="preserve">P4-M4-03</t>
  </si>
  <si>
    <t xml:space="preserve">Rung 2: SQL expressions and higher-order functions.</t>
  </si>
  <si>
    <t xml:space="preserve">P4-M4-04</t>
  </si>
  <si>
    <t xml:space="preserve">Rung 3: row-at-a-time Python UDF.</t>
  </si>
  <si>
    <t xml:space="preserve">P4-M4-05</t>
  </si>
  <si>
    <t xml:space="preserve">Rung 4: Arrow-optimized Python UDF.</t>
  </si>
  <si>
    <t xml:space="preserve">P4-M4-06</t>
  </si>
  <si>
    <t xml:space="preserve">Rung 5: pandas UDF.</t>
  </si>
  <si>
    <t xml:space="preserve">P4-M4-07</t>
  </si>
  <si>
    <t xml:space="preserve">Rung 6: map-in-Arrow or map-in-pandas.</t>
  </si>
  <si>
    <t xml:space="preserve">P4-M4-08</t>
  </si>
  <si>
    <t xml:space="preserve">Rung 7: RDD map.</t>
  </si>
  <si>
    <t xml:space="preserve">P4-M4-09</t>
  </si>
  <si>
    <t xml:space="preserve">Sweep Arrow batch size, Python worker memory limit, Python worker reuse.</t>
  </si>
  <si>
    <t xml:space="preserve">P4-M4-10</t>
  </si>
  <si>
    <t xml:space="preserve">Decompose time into JVM, serialization and Python where the UI allows.</t>
  </si>
  <si>
    <t xml:space="preserve">P4-M4-11</t>
  </si>
  <si>
    <t xml:space="preserve">Hot-key trap: grouped pandas computation per user overloads one worker (bulk buyer); fix with window functions or salting + two-phase.</t>
  </si>
  <si>
    <t xml:space="preserve">P4-M4-12</t>
  </si>
  <si>
    <t xml:space="preserve">Verify identical results across rungs within tolerance.</t>
  </si>
  <si>
    <t xml:space="preserve">P4-M4-13</t>
  </si>
  <si>
    <t xml:space="preserve">For any new transformation you can say which rung to start from and why.</t>
  </si>
  <si>
    <t xml:space="preserve">P4-M5-01</t>
  </si>
  <si>
    <t xml:space="preserve">Baseline W1 and W5; record RustFS request counts and throughput for full scan, filtered scan and write.</t>
  </si>
  <si>
    <t xml:space="preserve">P4-M5-02</t>
  </si>
  <si>
    <t xml:space="preserve">S3A connection pool maximum.</t>
  </si>
  <si>
    <t xml:space="preserve">P4-M5-03</t>
  </si>
  <si>
    <t xml:space="preserve">S3A thread pool size.</t>
  </si>
  <si>
    <t xml:space="preserve">P4-M5-04</t>
  </si>
  <si>
    <t xml:space="preserve">S3A fast-upload buffering mode (disk / array / byte buffer).</t>
  </si>
  <si>
    <t xml:space="preserve">P4-M5-05</t>
  </si>
  <si>
    <t xml:space="preserve">S3A multipart size and threshold.</t>
  </si>
  <si>
    <t xml:space="preserve">P4-M5-06</t>
  </si>
  <si>
    <t xml:space="preserve">S3A block size and read-ahead.</t>
  </si>
  <si>
    <t xml:space="preserve">P4-M5-07</t>
  </si>
  <si>
    <t xml:space="preserve">Access-pattern hint (sequential / random / adaptive).</t>
  </si>
  <si>
    <t xml:space="preserve">P4-M5-08</t>
  </si>
  <si>
    <t xml:space="preserve">S3A vs Iceberg's own S3 file I/O for the same table.</t>
  </si>
  <si>
    <t xml:space="preserve">P4-M5-09</t>
  </si>
  <si>
    <t xml:space="preserve">File size study: throughput vs file size; find where more size stops helping.</t>
  </si>
  <si>
    <t xml:space="preserve">P4-M5-10</t>
  </si>
  <si>
    <t xml:space="preserve">Find the setting that governs Iceberg scan task size and sweep it.</t>
  </si>
  <si>
    <t xml:space="preserve">P4-M5-11</t>
  </si>
  <si>
    <t xml:space="preserve">Watch for retry storms and timeouts under load (RustFS logs).</t>
  </si>
  <si>
    <t xml:space="preserve">P4-M5-12</t>
  </si>
  <si>
    <t xml:space="preserve">Recommended storage settings and target file size, with evidence.</t>
  </si>
  <si>
    <t xml:space="preserve">P4-M6-01</t>
  </si>
  <si>
    <t xml:space="preserve">Read parallelism 1, 2, 4, 8, 16, 32: Postgres connections, CPU, latency, Spark time.</t>
  </si>
  <si>
    <t xml:space="preserve">P4-M6-02</t>
  </si>
  <si>
    <t xml:space="preserve">Find the point where Postgres hurts or Spark stops improving.</t>
  </si>
  <si>
    <t xml:space="preserve">P4-M6-03</t>
  </si>
  <si>
    <t xml:space="preserve">Explain how executors and cores bound connections and which Postgres limit applies.</t>
  </si>
  <si>
    <t xml:space="preserve">P4-M6-04</t>
  </si>
  <si>
    <t xml:space="preserve">Fetch size and executor memory behavior.</t>
  </si>
  <si>
    <t xml:space="preserve">P4-M6-05</t>
  </si>
  <si>
    <t xml:space="preserve">Write a gold aggregate back: batch size, batched-insert rewrite option, write parallelism (locks, WAL, indexes).</t>
  </si>
  <si>
    <t xml:space="preserve">P4-M6-06</t>
  </si>
  <si>
    <t xml:space="preserve">Staging table + swap vs writing into the live table.</t>
  </si>
  <si>
    <t xml:space="preserve">P4-M6-07</t>
  </si>
  <si>
    <t xml:space="preserve">Write the backpressure policy (max parallelism, quiet windows, read replica, or extract from the change log).</t>
  </si>
  <si>
    <t xml:space="preserve">P4-M6-08</t>
  </si>
  <si>
    <t xml:space="preserve">Maximum safe parallelism per Postgres workload stated with reasons.</t>
  </si>
  <si>
    <t xml:space="preserve">P4-M7-01</t>
  </si>
  <si>
    <t xml:space="preserve">Two appends at once (retry counts, commit time).</t>
  </si>
  <si>
    <t xml:space="preserve">P4-M7-02</t>
  </si>
  <si>
    <t xml:space="preserve">Two merges touching the same files (error text).</t>
  </si>
  <si>
    <t xml:space="preserve">P4-M7-03</t>
  </si>
  <si>
    <t xml:space="preserve">Merge vs compaction (who loses and why).</t>
  </si>
  <si>
    <t xml:space="preserve">P4-M7-04</t>
  </si>
  <si>
    <t xml:space="preserve">Append during snapshot expiry.</t>
  </si>
  <si>
    <t xml:space="preserve">P4-M7-05</t>
  </si>
  <si>
    <t xml:space="preserve">Write during orphan removal.</t>
  </si>
  <si>
    <t xml:space="preserve">P4-M7-06</t>
  </si>
  <si>
    <t xml:space="preserve">Tune commit retries and isolation levels; compare serializable and snapshot isolation.</t>
  </si>
  <si>
    <t xml:space="preserve">P4-M7-07</t>
  </si>
  <si>
    <t xml:space="preserve">Verify a failed commit leaves no visible partial data; measure orphan files.</t>
  </si>
  <si>
    <t xml:space="preserve">P4-M7-08</t>
  </si>
  <si>
    <t xml:space="preserve">Write isolation rules: which jobs may run together and in what order.</t>
  </si>
  <si>
    <t xml:space="preserve">P4-M7-09</t>
  </si>
  <si>
    <t xml:space="preserve">Table of safe and unsafe job combinations with a scheduling rule.</t>
  </si>
  <si>
    <t xml:space="preserve">P4-M8-01</t>
  </si>
  <si>
    <t xml:space="preserve">Dynamic allocation with shuffle tracking; sweep idle timeout and bounds.</t>
  </si>
  <si>
    <t xml:space="preserve">P4-M8-02</t>
  </si>
  <si>
    <t xml:space="preserve">Two notebooks (two applications) concurrently: how standalone shares cores.</t>
  </si>
  <si>
    <t xml:space="preserve">P4-M8-03</t>
  </si>
  <si>
    <t xml:space="preserve">FIFO vs FAIR scheduling with pools from separate threads.</t>
  </si>
  <si>
    <t xml:space="preserve">P4-M8-04</t>
  </si>
  <si>
    <t xml:space="preserve">Data-locality wait sweep; does it matter with RustFS?</t>
  </si>
  <si>
    <t xml:space="preserve">P4-M8-05</t>
  </si>
  <si>
    <t xml:space="preserve">Fair-sharing configuration described with numbers.</t>
  </si>
  <si>
    <t xml:space="preserve">P4-M9-01</t>
  </si>
  <si>
    <t xml:space="preserve">Straggler + speculation (multiplier, quantile); check for extra files in an Iceberg write.</t>
  </si>
  <si>
    <t xml:space="preserve">P4-M9-02</t>
  </si>
  <si>
    <t xml:space="preserve">Executor loss: kill a worker mid-job (task and stage retries, outcome, retry limits).</t>
  </si>
  <si>
    <t xml:space="preserve">P4-M9-03</t>
  </si>
  <si>
    <t xml:space="preserve">Storage failure: stop RustFS mid-write (errors, retries, table state, leftover files).</t>
  </si>
  <si>
    <t xml:space="preserve">P4-M9-04</t>
  </si>
  <si>
    <t xml:space="preserve">Source failure: stop Postgres mid-extract (errors, half-published extract?).</t>
  </si>
  <si>
    <t xml:space="preserve">P4-M9-05</t>
  </si>
  <si>
    <t xml:space="preserve">Failure-based exclusion with a deterministically failing task.</t>
  </si>
  <si>
    <t xml:space="preserve">P4-M9-06</t>
  </si>
  <si>
    <t xml:space="preserve">Bring services back; confirm workers re-register and the next run succeeds.</t>
  </si>
  <si>
    <t xml:space="preserve">P4-M9-07</t>
  </si>
  <si>
    <t xml:space="preserve">Each failure has a recorded timeline and a runbook entry.</t>
  </si>
  <si>
    <t xml:space="preserve">P4-M10-01</t>
  </si>
  <si>
    <t xml:space="preserve">Shuffle buffer and in-flight fetch settings on a large shuffle.</t>
  </si>
  <si>
    <t xml:space="preserve">P4-M10-02</t>
  </si>
  <si>
    <t xml:space="preserve">Point the local directory somewhere specific and inspect shuffle files on a worker during a job.</t>
  </si>
  <si>
    <t xml:space="preserve">P4-M10-03</t>
  </si>
  <si>
    <t xml:space="preserve">Relate shuffle write/read, spill and disk bytes in the Stages tab to the files.</t>
  </si>
  <si>
    <t xml:space="preserve">P4-M10-04</t>
  </si>
  <si>
    <t xml:space="preserve">Check what happens when local disk fills.</t>
  </si>
  <si>
    <t xml:space="preserve">P4-M10-05</t>
  </si>
  <si>
    <t xml:space="preserve">Each shuffle metric explained in terms of files and memory.</t>
  </si>
  <si>
    <t xml:space="preserve">P4-M11-01</t>
  </si>
  <si>
    <t xml:space="preserve">Write the capacity model: best layout, memory, storage settings and parallelism per workload class; where the bottleneck is; Postgres and RustFS limits; what changes when data doubles. Link experiment ids.</t>
  </si>
  <si>
    <t xml:space="preserve">P4-M11-02</t>
  </si>
  <si>
    <t xml:space="preserve">Every workload has a named bottleneck with evidence; safe Postgres limits and storage settings recommended; failure runbook written.</t>
  </si>
  <si>
    <t xml:space="preserve">Source: 05-streaming-cdc-lakehouse.md.  Edit only the yellow cells: Status (dropdown), Started, Completed, Evidence / notes.</t>
  </si>
  <si>
    <t xml:space="preserve">P5-M0-01</t>
  </si>
  <si>
    <t xml:space="preserve">Clickstream producer around real baskets, with duplicates/replays, malformed lines, schema drift, out-of-order events and ~2% very late events.</t>
  </si>
  <si>
    <t xml:space="preserve">P5-M0-02</t>
  </si>
  <si>
    <t xml:space="preserve">Write files safely (temporary name then rename); decide the object naming convention.</t>
  </si>
  <si>
    <t xml:space="preserve">P5-M0-03</t>
  </si>
  <si>
    <t xml:space="preserve">Run the lifecycle replayer with an adjustable time-compression factor.</t>
  </si>
  <si>
    <t xml:space="preserve">P5-M0-04</t>
  </si>
  <si>
    <t xml:space="preserve">Verify the change log is ordered and complete.</t>
  </si>
  <si>
    <t xml:space="preserve">P5-M0-05</t>
  </si>
  <si>
    <t xml:space="preserve">Choose three speeds: low (below capacity), medium (near), high (above).</t>
  </si>
  <si>
    <t xml:space="preserve">P5-M0-06</t>
  </si>
  <si>
    <t xml:space="preserve">Define service levels before building: freshness, completeness, duplicates, late-data tolerance.</t>
  </si>
  <si>
    <t xml:space="preserve">P5-M0-07</t>
  </si>
  <si>
    <t xml:space="preserve">Prepare batch reference truth for windows, sessions and current state.</t>
  </si>
  <si>
    <t xml:space="preserve">P5-M0-08</t>
  </si>
  <si>
    <t xml:space="preserve">Producers run at three speeds; change log verified; service levels written down.</t>
  </si>
  <si>
    <t xml:space="preserve">P5-M1-01</t>
  </si>
  <si>
    <t xml:space="preserve">File stream with an explicit schema and a files-per-trigger cap; decide how to treat corrupt lines and the drifted field.</t>
  </si>
  <si>
    <t xml:space="preserve">P5-M1-02</t>
  </si>
  <si>
    <t xml:space="preserve">Write to Iceberg bronze with the checkpoint stored in RustFS.</t>
  </si>
  <si>
    <t xml:space="preserve">P5-M1-03</t>
  </si>
  <si>
    <t xml:space="preserve">Inspect the checkpoint folder (offsets, commits, sources, metadata) and write down what each represents.</t>
  </si>
  <si>
    <t xml:space="preserve">P5-M1-04</t>
  </si>
  <si>
    <t xml:space="preserve">Triggers: fixed interval vs available-now vs once.</t>
  </si>
  <si>
    <t xml:space="preserve">P5-M1-05</t>
  </si>
  <si>
    <t xml:space="preserve">Prove exactly-once: restart several times (also mid-batch); compare bronze count with a batch read of the same objects.</t>
  </si>
  <si>
    <t xml:space="preserve">P5-M1-06</t>
  </si>
  <si>
    <t xml:space="preserve">Watch progress metrics: input rate, processing rate, batch id, duration breakdown.</t>
  </si>
  <si>
    <t xml:space="preserve">P5-M1-07</t>
  </si>
  <si>
    <t xml:space="preserve">Listing cost as the landing prefix grows; cleanup options (off / archive / delete).</t>
  </si>
  <si>
    <t xml:space="preserve">P5-M1-08</t>
  </si>
  <si>
    <t xml:space="preserve">Decide bronze partitioning (ingestion day, hour, none) and predict file counts.</t>
  </si>
  <si>
    <t xml:space="preserve">P5-M1-09</t>
  </si>
  <si>
    <t xml:space="preserve">Restarts never lose or duplicate; batch metrics understood; counts match batch reads.</t>
  </si>
  <si>
    <t xml:space="preserve">P5-M2-01</t>
  </si>
  <si>
    <t xml:space="preserve">After an hour at medium speed count data files and snapshots in bronze.</t>
  </si>
  <si>
    <t xml:space="preserve">P5-M2-02</t>
  </si>
  <si>
    <t xml:space="preserve">Run compaction and snapshot expiry while the stream runs; record conflicts and retries.</t>
  </si>
  <si>
    <t xml:space="preserve">P5-M2-03</t>
  </si>
  <si>
    <t xml:space="preserve">Sink options: fanout vs sorted write; target file size; distribution mode.</t>
  </si>
  <si>
    <t xml:space="preserve">P5-M2-04</t>
  </si>
  <si>
    <t xml:space="preserve">Find the trigger interval that meets both freshness and file-count targets.</t>
  </si>
  <si>
    <t xml:space="preserve">P5-M2-05</t>
  </si>
  <si>
    <t xml:space="preserve">Design the maintenance schedule (cadence, order, safe windows, margins relative to the checkpoint).</t>
  </si>
  <si>
    <t xml:space="preserve">P5-M2-06</t>
  </si>
  <si>
    <t xml:space="preserve">Schedule runs while the stream is live with a recorded conflict count; bronze stays within file-count targets.</t>
  </si>
  <si>
    <t xml:space="preserve">P5-M3-01</t>
  </si>
  <si>
    <t xml:space="preserve">One-minute tumbling and five-minute sliding counts by event type with a ten-minute watermark.</t>
  </si>
  <si>
    <t xml:space="preserve">P5-M3-02</t>
  </si>
  <si>
    <t xml:space="preserve">Find which output modes the Iceberg sink supports; route upserts through a batch-by-batch merge.</t>
  </si>
  <si>
    <t xml:space="preserve">P5-M3-03</t>
  </si>
  <si>
    <t xml:space="preserve">Watermark 1 min / 10 min / 1 h: emission delay, dropped rows, state size.</t>
  </si>
  <si>
    <t xml:space="preserve">P5-M3-04</t>
  </si>
  <si>
    <t xml:space="preserve">Reconcile dropped rows with the producer's known late events.</t>
  </si>
  <si>
    <t xml:space="preserve">P5-M3-05</t>
  </si>
  <si>
    <t xml:space="preserve">Tumbling vs sliding state size.</t>
  </si>
  <si>
    <t xml:space="preserve">P5-M3-06</t>
  </si>
  <si>
    <t xml:space="preserve">Compare the stream result with batch truth.</t>
  </si>
  <si>
    <t xml:space="preserve">P5-M3-07</t>
  </si>
  <si>
    <t xml:space="preserve">Stream matches batch except rows beyond the watermark, and you can explain the difference exactly.</t>
  </si>
  <si>
    <t xml:space="preserve">P5-M4-01</t>
  </si>
  <si>
    <t xml:space="preserve">30-minute-gap sessions per user into gold: events, cart adds, conversions, revenue, start, end.</t>
  </si>
  <si>
    <t xml:space="preserve">P5-M4-02</t>
  </si>
  <si>
    <t xml:space="preserve">Verify against a batch computation over the same period.</t>
  </si>
  <si>
    <t xml:space="preserve">P5-M4-03</t>
  </si>
  <si>
    <t xml:space="preserve">Watermark lengths vs state size and memory per batch.</t>
  </si>
  <si>
    <t xml:space="preserve">P5-M4-04</t>
  </si>
  <si>
    <t xml:space="preserve">Find the hot user's state partition in the metrics (the bulk buyer).</t>
  </si>
  <si>
    <t xml:space="preserve">P5-M4-05</t>
  </si>
  <si>
    <t xml:space="preserve">Session gap 10 / 30 / 60 minutes.</t>
  </si>
  <si>
    <t xml:space="preserve">P5-M4-06</t>
  </si>
  <si>
    <t xml:space="preserve">Stretch: arbitrary-state API (check PySpark availability); compare flexibility, cost, correctness.</t>
  </si>
  <si>
    <t xml:space="preserve">P5-M4-07</t>
  </si>
  <si>
    <t xml:space="preserve">Streamed sessions equal batch sessions on closed periods; state growth model understood.</t>
  </si>
  <si>
    <t xml:space="preserve">P5-M5-01</t>
  </si>
  <si>
    <t xml:space="preserve">Poll the change log in micro-batches using the last applied sequence as the position.</t>
  </si>
  <si>
    <t xml:space="preserve">P5-M5-02</t>
  </si>
  <si>
    <t xml:space="preserve">Collapse each batch to the latest change per key by sequence; separate inserts, updates, soft and hard deletes.</t>
  </si>
  <si>
    <t xml:space="preserve">P5-M5-03</t>
  </si>
  <si>
    <t xml:space="preserve">MERGE into silver with match key, sequence comparison (ignore older changes) and delete handling.</t>
  </si>
  <si>
    <t xml:space="preserve">P5-M5-04</t>
  </si>
  <si>
    <t xml:space="preserve">Make each batch idempotent; store the last applied batch or sequence atomically with the merge.</t>
  </si>
  <si>
    <t xml:space="preserve">P5-M5-05</t>
  </si>
  <si>
    <t xml:space="preserve">Disorder tests: shuffle changes within a batch, replay old batches, drop one batch and detect the gap.</t>
  </si>
  <si>
    <t xml:space="preserve">P5-M5-06</t>
  </si>
  <si>
    <t xml:space="preserve">Deletes: erasure requests (hard delete + anonymize) and cascade effects.</t>
  </si>
  <si>
    <t xml:space="preserve">P5-M5-07</t>
  </si>
  <si>
    <t xml:space="preserve">Apply with MERGE vs append-only changelog + latest-per-key view (cost, audit, storage).</t>
  </si>
  <si>
    <t xml:space="preserve">P5-M5-08</t>
  </si>
  <si>
    <t xml:space="preserve">Batch size small vs large (commit rate, conflict risk).</t>
  </si>
  <si>
    <t xml:space="preserve">P5-M5-09</t>
  </si>
  <si>
    <t xml:space="preserve">Copy-on-write vs merge-on-read for the CDC target.</t>
  </si>
  <si>
    <t xml:space="preserve">P5-M5-10</t>
  </si>
  <si>
    <t xml:space="preserve">Try incremental reads from an Iceberg table (streaming source, changelog view); document supported snapshot types.</t>
  </si>
  <si>
    <t xml:space="preserve">P5-M5-11</t>
  </si>
  <si>
    <t xml:space="preserve">Replaying, reordering and dropping batches never corrupts silver; final state equals the batch rebuild.</t>
  </si>
  <si>
    <t xml:space="preserve">P5-M6-01</t>
  </si>
  <si>
    <t xml:space="preserve">Dedup by event id: classic with watermark vs within-watermark (state size, replays).</t>
  </si>
  <si>
    <t xml:space="preserve">P5-M6-02</t>
  </si>
  <si>
    <t xml:space="preserve">Stream-static join against an updating silver dimension; prove whether updates become visible while the stream runs.</t>
  </si>
  <si>
    <t xml:space="preserve">P5-M6-03</t>
  </si>
  <si>
    <t xml:space="preserve">Stream-stream join: views -&gt; cart adds -&gt; purchases with watermarks on both sides and a time-range condition.</t>
  </si>
  <si>
    <t xml:space="preserve">P5-M6-04</t>
  </si>
  <si>
    <t xml:space="preserve">Outer join: when unmatched rows are emitted.</t>
  </si>
  <si>
    <t xml:space="preserve">P5-M6-05</t>
  </si>
  <si>
    <t xml:space="preserve">Break it: remove a watermark; observe the error or unbounded state.</t>
  </si>
  <si>
    <t xml:space="preserve">P5-M6-06</t>
  </si>
  <si>
    <t xml:space="preserve">Compare results with batch truth.</t>
  </si>
  <si>
    <t xml:space="preserve">P5-M6-07</t>
  </si>
  <si>
    <t xml:space="preserve">Each pattern has documented state size, latency and correctness.</t>
  </si>
  <si>
    <t xml:space="preserve">P5-M7-01</t>
  </si>
  <si>
    <t xml:space="preserve">Change shuffle partitions on an existing stateful checkpoint; record what happens and why.</t>
  </si>
  <si>
    <t xml:space="preserve">P5-M7-02</t>
  </si>
  <si>
    <t xml:space="preserve">Default state store vs RocksDB for large state (memory, batch time, checkpoint size).</t>
  </si>
  <si>
    <t xml:space="preserve">P5-M7-03</t>
  </si>
  <si>
    <t xml:space="preserve">Raise producer rate until processing falls behind; control backlog with files-per-trigger and trigger interval.</t>
  </si>
  <si>
    <t xml:space="preserve">P5-M7-04</t>
  </si>
  <si>
    <t xml:space="preserve">Chart batch duration vs trigger interval from recent progress records.</t>
  </si>
  <si>
    <t xml:space="preserve">P5-M7-05</t>
  </si>
  <si>
    <t xml:space="preserve">Find the maximum sustainable rate and the first bottleneck (CPU, RustFS, commits, state).</t>
  </si>
  <si>
    <t xml:space="preserve">P5-M7-06</t>
  </si>
  <si>
    <t xml:space="preserve">Maximum sustainable rate per query and its first bottleneck known.</t>
  </si>
  <si>
    <t xml:space="preserve">P5-M8-01</t>
  </si>
  <si>
    <t xml:space="preserve">Kill a worker (executor loss, retries, no data loss).</t>
  </si>
  <si>
    <t xml:space="preserve">P5-M8-02</t>
  </si>
  <si>
    <t xml:space="preserve">Stop the notebook kernel / kill the driver (restart from checkpoint, exact resume).</t>
  </si>
  <si>
    <t xml:space="preserve">P5-M8-03</t>
  </si>
  <si>
    <t xml:space="preserve">Stop RustFS during a batch (error, retry, checkpoint and table state).</t>
  </si>
  <si>
    <t xml:space="preserve">P5-M8-04</t>
  </si>
  <si>
    <t xml:space="preserve">Stop Postgres during CDC polling (resume without gaps or duplicates).</t>
  </si>
  <si>
    <t xml:space="preserve">P5-M8-05</t>
  </si>
  <si>
    <t xml:space="preserve">Add a column to the sink table while running.</t>
  </si>
  <si>
    <t xml:space="preserve">P5-M8-06</t>
  </si>
  <si>
    <t xml:space="preserve">Change the aggregation key or output mode (which errors?).</t>
  </si>
  <si>
    <t xml:space="preserve">P5-M8-07</t>
  </si>
  <si>
    <t xml:space="preserve">Damage part of the checkpoint (what recovery is possible?).</t>
  </si>
  <si>
    <t xml:space="preserve">P5-M8-08</t>
  </si>
  <si>
    <t xml:space="preserve">Each drill outcome matches prediction or the surprise is documented.</t>
  </si>
  <si>
    <t xml:space="preserve">P5-M9-01</t>
  </si>
  <si>
    <t xml:space="preserve">Mark a test change in Postgres; track it in the change log, micro-batch, silver and gold.</t>
  </si>
  <si>
    <t xml:space="preserve">P5-M9-02</t>
  </si>
  <si>
    <t xml:space="preserve">Break total latency into stages (poll, batch wait, processing, commit, visibility).</t>
  </si>
  <si>
    <t xml:space="preserve">P5-M9-03</t>
  </si>
  <si>
    <t xml:space="preserve">Latency at low, medium and high rates.</t>
  </si>
  <si>
    <t xml:space="preserve">P5-M9-04</t>
  </si>
  <si>
    <t xml:space="preserve">Write checks for each service level (freshness lag, counts vs batch truth, duplicates); confirm they fire when you break something.</t>
  </si>
  <si>
    <t xml:space="preserve">P5-M9-05</t>
  </si>
  <si>
    <t xml:space="preserve">Decide alert thresholds.</t>
  </si>
  <si>
    <t xml:space="preserve">P5-M9-06</t>
  </si>
  <si>
    <t xml:space="preserve">Freshness measured per stage; checks alert correctly.</t>
  </si>
  <si>
    <t xml:space="preserve">P5-M10-01</t>
  </si>
  <si>
    <t xml:space="preserve">Write the operating guide: topology, rates and limits, maintenance schedule, recovery steps, service levels and checks, monitoring. Link experiment ids.</t>
  </si>
  <si>
    <t xml:space="preserve">P5-M10-02</t>
  </si>
  <si>
    <t xml:space="preserve">Silver and gold from the stream equal the batch rebuild on closed periods; failures never corrupt data; freshness measured with working checks.</t>
  </si>
  <si>
    <t xml:space="preserve">Environment and versions</t>
  </si>
  <si>
    <t xml:space="preserve">Record what you actually pinned. Do NOT store passwords or keys in this file.</t>
  </si>
  <si>
    <t xml:space="preserve">Item</t>
  </si>
  <si>
    <t xml:space="preserve">Suggested (from the guide)</t>
  </si>
  <si>
    <t xml:space="preserve">Chosen / pinned</t>
  </si>
  <si>
    <t xml:space="preserve">Date pinned</t>
  </si>
  <si>
    <t xml:space="preserve">Verified how</t>
  </si>
  <si>
    <t xml:space="preserve">Notes</t>
  </si>
  <si>
    <t xml:space="preserve">Spark version</t>
  </si>
  <si>
    <t xml:space="preserve">4.x (see Gate A)</t>
  </si>
  <si>
    <t xml:space="preserve">Scala version</t>
  </si>
  <si>
    <t xml:space="preserve">2.13</t>
  </si>
  <si>
    <t xml:space="preserve">Java version</t>
  </si>
  <si>
    <t xml:space="preserve">17 or 21 (confirm in Spark docs)</t>
  </si>
  <si>
    <t xml:space="preserve">Hadoop version bundled with Spark</t>
  </si>
  <si>
    <t xml:space="preserve">from your Spark distribution</t>
  </si>
  <si>
    <t xml:space="preserve">Iceberg Spark runtime artifact and version</t>
  </si>
  <si>
    <t xml:space="preserve">must match Spark minor version</t>
  </si>
  <si>
    <t xml:space="preserve">S3 access bundle (hadoop-aws + AWS SDK, or Iceberg AWS bundle)</t>
  </si>
  <si>
    <t xml:space="preserve">versions must match Hadoop</t>
  </si>
  <si>
    <t xml:space="preserve">PostgreSQL version</t>
  </si>
  <si>
    <t xml:space="preserve">PostgreSQL JDBC driver version</t>
  </si>
  <si>
    <t xml:space="preserve">RustFS release tag</t>
  </si>
  <si>
    <t xml:space="preserve">pin a tag, not latest</t>
  </si>
  <si>
    <t xml:space="preserve">Catalog type</t>
  </si>
  <si>
    <t xml:space="preserve">JDBC on Postgres (recommended)</t>
  </si>
  <si>
    <t xml:space="preserve">Source database name</t>
  </si>
  <si>
    <t xml:space="preserve">Catalog database name</t>
  </si>
  <si>
    <t xml:space="preserve">separate from source</t>
  </si>
  <si>
    <t xml:space="preserve">Spark executor layout</t>
  </si>
  <si>
    <t xml:space="preserve">4 x (2 cores, 1 GB) to start</t>
  </si>
  <si>
    <t xml:space="preserve">Default shuffle partitions chosen</t>
  </si>
  <si>
    <t xml:space="preserve">16 to 32 for 8 cores (data dependent)</t>
  </si>
  <si>
    <t xml:space="preserve">Port: Spark master / master UI</t>
  </si>
  <si>
    <t xml:space="preserve">7077 / 8080</t>
  </si>
  <si>
    <t xml:space="preserve">Port: application UI / history server</t>
  </si>
  <si>
    <t xml:space="preserve">4040 / 18080</t>
  </si>
  <si>
    <t xml:space="preserve">Port: RustFS S3 API / console</t>
  </si>
  <si>
    <t xml:space="preserve">9000 / 9001</t>
  </si>
  <si>
    <t xml:space="preserve">Port: PostgreSQL / Jupyter</t>
  </si>
  <si>
    <t xml:space="preserve">5432 / 8888</t>
  </si>
  <si>
    <t xml:space="preserve">Where credentials are stored (do NOT write them here)</t>
  </si>
  <si>
    <t xml:space="preserve">e.g. a password manager or env file</t>
  </si>
  <si>
    <t xml:space="preserve">Dataset tiers built</t>
  </si>
  <si>
    <t xml:space="preserve">Tier</t>
  </si>
  <si>
    <t xml:space="preserve">Orders</t>
  </si>
  <si>
    <t xml:space="preserve">Order lines</t>
  </si>
  <si>
    <t xml:space="preserve">Lines per order</t>
  </si>
  <si>
    <t xml:space="preserve">Built on</t>
  </si>
  <si>
    <t xml:space="preserve">Random seed</t>
  </si>
  <si>
    <t xml:space="preserve">Example (M, full data)</t>
  </si>
  <si>
    <t xml:space="preserve">2026-11-02</t>
  </si>
  <si>
    <t xml:space="preserve">42</t>
  </si>
  <si>
    <t xml:space="preserve">EXAMPLE - overwrite with your own build</t>
  </si>
  <si>
    <t xml:space="preserve">S</t>
  </si>
  <si>
    <t xml:space="preserve">~10% of users, all of their orders (about 340k orders, 3.4M lines)</t>
  </si>
  <si>
    <t xml:space="preserve">M</t>
  </si>
  <si>
    <t xml:space="preserve">full dataset (3.42M orders, about 33.8M lines)</t>
  </si>
  <si>
    <t xml:space="preserve">L</t>
  </si>
  <si>
    <t xml:space="preserve">full dataset replicated ~3 times (about 10M orders, 100M lines)</t>
  </si>
  <si>
    <t xml:space="preserve">Experiment log</t>
  </si>
  <si>
    <t xml:space="preserve">One row per experiment. Write the prediction BEFORE you run it. Row 6 is an example; overwrite or delete it.</t>
  </si>
  <si>
    <t xml:space="preserve">Exp ID</t>
  </si>
  <si>
    <t xml:space="preserve">Date</t>
  </si>
  <si>
    <t xml:space="preserve">Project</t>
  </si>
  <si>
    <t xml:space="preserve">Prediction (before running)</t>
  </si>
  <si>
    <t xml:space="preserve">Setting changed</t>
  </si>
  <si>
    <t xml:space="preserve">Baseline</t>
  </si>
  <si>
    <t xml:space="preserve">Result (time / bytes / shuffle / spill)</t>
  </si>
  <si>
    <t xml:space="preserve">Spark UI evidence</t>
  </si>
  <si>
    <t xml:space="preserve">Iceberg / RustFS / Postgres evidence</t>
  </si>
  <si>
    <t xml:space="preserve">Conclusion</t>
  </si>
  <si>
    <t xml:space="preserve">Follow-up</t>
  </si>
  <si>
    <t xml:space="preserve">Prediction correct?</t>
  </si>
  <si>
    <t xml:space="preserve">E-EX</t>
  </si>
  <si>
    <t xml:space="preserve">AQE skew join will cut the max task time by half on the product-id join</t>
  </si>
  <si>
    <t xml:space="preserve">skewJoin thresholds lowered to 32 MB</t>
  </si>
  <si>
    <t xml:space="preserve">max/median task ratio 14x, 212 s</t>
  </si>
  <si>
    <t xml:space="preserve">ratio 3x, 96 s, shuffle read 18 GB</t>
  </si>
  <si>
    <t xml:space="preserve">Stage 7 task table; SQL plan shows skew=true</t>
  </si>
  <si>
    <t xml:space="preserve">RustFS GET count unchanged; Postgres idle</t>
  </si>
  <si>
    <t xml:space="preserve">AQE helps the join; no effect on the skewed aggregation</t>
  </si>
  <si>
    <t xml:space="preserve">Try salting on the aggregation</t>
  </si>
  <si>
    <t xml:space="preserve">Partly</t>
  </si>
  <si>
    <t xml:space="preserve">Defect register</t>
  </si>
  <si>
    <t xml:space="preserve">Pre-filled with the Instacart issues to verify. Change Status to Confirmed / Handled / Not found as you profile. Row 6 is an example.</t>
  </si>
  <si>
    <t xml:space="preserve">Table</t>
  </si>
  <si>
    <t xml:space="preserve">Column(s)</t>
  </si>
  <si>
    <t xml:space="preserve">Description</t>
  </si>
  <si>
    <t xml:space="preserve">Rows affected</t>
  </si>
  <si>
    <t xml:space="preserve">Table rows</t>
  </si>
  <si>
    <t xml:space="preserve">% of rows</t>
  </si>
  <si>
    <t xml:space="preserve">Severity</t>
  </si>
  <si>
    <t xml:space="preserve">How detected</t>
  </si>
  <si>
    <t xml:space="preserve">Handling rule</t>
  </si>
  <si>
    <t xml:space="preserve">Layer handled</t>
  </si>
  <si>
    <t xml:space="preserve">Proving test</t>
  </si>
  <si>
    <t xml:space="preserve">D-EX</t>
  </si>
  <si>
    <t xml:space="preserve">orders</t>
  </si>
  <si>
    <t xml:space="preserve">days_since_prior_order</t>
  </si>
  <si>
    <t xml:space="preserve">Null for each user's first order</t>
  </si>
  <si>
    <t xml:space="preserve">Low</t>
  </si>
  <si>
    <t xml:space="preserve">Null rate by order_number</t>
  </si>
  <si>
    <t xml:space="preserve">Keep null; derive is_first_order</t>
  </si>
  <si>
    <t xml:space="preserve">Silver</t>
  </si>
  <si>
    <t xml:space="preserve">Assert nulls only where order_number = 1</t>
  </si>
  <si>
    <t xml:space="preserve">D-001</t>
  </si>
  <si>
    <t xml:space="preserve">eval_set</t>
  </si>
  <si>
    <t xml:space="preserve">Test-set orders have no order lines at all</t>
  </si>
  <si>
    <t xml:space="preserve">Medium</t>
  </si>
  <si>
    <t xml:space="preserve">Anti-join of orders to both lines files</t>
  </si>
  <si>
    <t xml:space="preserve">Keep in orders, flag has_lines = false, exclude from basket metrics</t>
  </si>
  <si>
    <t xml:space="preserve">To verify</t>
  </si>
  <si>
    <t xml:space="preserve">D-002</t>
  </si>
  <si>
    <t xml:space="preserve">order_products</t>
  </si>
  <si>
    <t xml:space="preserve">order_id</t>
  </si>
  <si>
    <t xml:space="preserve">Lines are split across two files (prior and train) that must be unioned</t>
  </si>
  <si>
    <t xml:space="preserve">File inventory and row counts per file</t>
  </si>
  <si>
    <t xml:space="preserve">Union with a source-file column</t>
  </si>
  <si>
    <t xml:space="preserve">Bronze</t>
  </si>
  <si>
    <t xml:space="preserve">D-003</t>
  </si>
  <si>
    <t xml:space="preserve">D-004</t>
  </si>
  <si>
    <t xml:space="preserve">Values appear capped near 30 days (censored data)</t>
  </si>
  <si>
    <t xml:space="preserve">Value histogram spike at the cap</t>
  </si>
  <si>
    <t xml:space="preserve">Treat the cap as 'at least 30'; document in cadence mart</t>
  </si>
  <si>
    <t xml:space="preserve">Gold</t>
  </si>
  <si>
    <t xml:space="preserve">D-005</t>
  </si>
  <si>
    <t xml:space="preserve">order_dow, order_hour_of_day</t>
  </si>
  <si>
    <t xml:space="preserve">No timestamps: only weekday, hour and gap since previous order</t>
  </si>
  <si>
    <t xml:space="preserve">High</t>
  </si>
  <si>
    <t xml:space="preserve">Schema review</t>
  </si>
  <si>
    <t xml:space="preserve">Rebuilt timeline with quality flag</t>
  </si>
  <si>
    <t xml:space="preserve">Source</t>
  </si>
  <si>
    <t xml:space="preserve">D-006</t>
  </si>
  <si>
    <t xml:space="preserve">products</t>
  </si>
  <si>
    <t xml:space="preserve">aisle_id, department_id</t>
  </si>
  <si>
    <t xml:space="preserve">Placeholder 'missing' aisle and department</t>
  </si>
  <si>
    <t xml:space="preserve">Distinct taxonomy values</t>
  </si>
  <si>
    <t xml:space="preserve">Map to explicit 'unknown'</t>
  </si>
  <si>
    <t xml:space="preserve">D-007</t>
  </si>
  <si>
    <t xml:space="preserve">product_name</t>
  </si>
  <si>
    <t xml:space="preserve">Names contain commas and quotes that break naive CSV parsing</t>
  </si>
  <si>
    <t xml:space="preserve">Compare naive vs quoted-CSV row counts</t>
  </si>
  <si>
    <t xml:space="preserve">Use a quoted-CSV reader</t>
  </si>
  <si>
    <t xml:space="preserve">Landing</t>
  </si>
  <si>
    <t xml:space="preserve">D-008</t>
  </si>
  <si>
    <t xml:space="preserve">Long tail of very large baskets</t>
  </si>
  <si>
    <t xml:space="preserve">Basket-size distribution</t>
  </si>
  <si>
    <t xml:space="preserve">Cap or prune in co-occurrence work</t>
  </si>
  <si>
    <t xml:space="preserve">D-009</t>
  </si>
  <si>
    <t xml:space="preserve">reordered</t>
  </si>
  <si>
    <t xml:space="preserve">Possible disagreements between the reordered flag and user history</t>
  </si>
  <si>
    <t xml:space="preserve">Rebuild flag from history and compare</t>
  </si>
  <si>
    <t xml:space="preserve">Quarantine or flag disagreements</t>
  </si>
  <si>
    <t xml:space="preserve">D-010</t>
  </si>
  <si>
    <t xml:space="preserve">order_number</t>
  </si>
  <si>
    <t xml:space="preserve">User histories may not line up with order_number (gaps or duplicates)</t>
  </si>
  <si>
    <t xml:space="preserve">Contiguity check per user</t>
  </si>
  <si>
    <t xml:space="preserve">Quarantine impossible histories</t>
  </si>
  <si>
    <t xml:space="preserve">D-011</t>
  </si>
  <si>
    <t xml:space="preserve">(all)</t>
  </si>
  <si>
    <t xml:space="preserve">price, payment, store, user</t>
  </si>
  <si>
    <t xml:space="preserve">No prices, payments, stores or user attributes exist in the source</t>
  </si>
  <si>
    <t xml:space="preserve">Generate synthetic tables with documented rules</t>
  </si>
  <si>
    <t xml:space="preserve">Decision log</t>
  </si>
  <si>
    <t xml:space="preserve">Decisions you must make during the lab. Fill in Evidence (experiment IDs), Choice and Status. Row 6 is an example.</t>
  </si>
  <si>
    <t xml:space="preserve">Decision needed</t>
  </si>
  <si>
    <t xml:space="preserve">Options considered</t>
  </si>
  <si>
    <t xml:space="preserve">Evidence (experiment IDs)</t>
  </si>
  <si>
    <t xml:space="preserve">Choice</t>
  </si>
  <si>
    <t xml:space="preserve">Revisit if</t>
  </si>
  <si>
    <t xml:space="preserve">DEC-EX</t>
  </si>
  <si>
    <t xml:space="preserve">Bronze partitioning for lines</t>
  </si>
  <si>
    <t xml:space="preserve">month of order date / bucket on order id / unpartitioned sorted</t>
  </si>
  <si>
    <t xml:space="preserve">E-021, E-022</t>
  </si>
  <si>
    <t xml:space="preserve">month of order date</t>
  </si>
  <si>
    <t xml:space="preserve">date filters stop dominating queries</t>
  </si>
  <si>
    <t xml:space="preserve">DEC-001</t>
  </si>
  <si>
    <t xml:space="preserve">Spark version vs Iceberg runtime (Gate A)</t>
  </si>
  <si>
    <t xml:space="preserve">Spark 4.2 if the runtime exists; else newest 4.x with a published Iceberg runtime</t>
  </si>
  <si>
    <t xml:space="preserve">Open</t>
  </si>
  <si>
    <t xml:space="preserve">DEC-002</t>
  </si>
  <si>
    <t xml:space="preserve">Catalog (Gate D)</t>
  </si>
  <si>
    <t xml:space="preserve">Hadoop / JDBC on Postgres / standalone REST / RustFS built-in S3 Tables (preview)</t>
  </si>
  <si>
    <t xml:space="preserve">DEC-003</t>
  </si>
  <si>
    <t xml:space="preserve">Jar delivery (Gate C)</t>
  </si>
  <si>
    <t xml:space="preserve">Baked into the image vs resolved at runtime</t>
  </si>
  <si>
    <t xml:space="preserve">DEC-004</t>
  </si>
  <si>
    <t xml:space="preserve">S3 access path</t>
  </si>
  <si>
    <t xml:space="preserve">Hadoop S3A + AWS SDK bundle vs Iceberg's own S3 file I/O</t>
  </si>
  <si>
    <t xml:space="preserve">DEC-005</t>
  </si>
  <si>
    <t xml:space="preserve">S tier sampling method</t>
  </si>
  <si>
    <t xml:space="preserve">By user (recommended) vs by order</t>
  </si>
  <si>
    <t xml:space="preserve">DEC-006</t>
  </si>
  <si>
    <t xml:space="preserve">Postgres lines table design</t>
  </si>
  <si>
    <t xml:space="preserve">Single table vs partitioned by order date</t>
  </si>
  <si>
    <t xml:space="preserve">DEC-007</t>
  </si>
  <si>
    <t xml:space="preserve">Handling of test-set orders</t>
  </si>
  <si>
    <t xml:space="preserve">Keep / flag / separate table</t>
  </si>
  <si>
    <t xml:space="preserve">DEC-008</t>
  </si>
  <si>
    <t xml:space="preserve">JDBC partitioning for order_items</t>
  </si>
  <si>
    <t xml:space="preserve">Order-id ranges / hash / month / surrogate key</t>
  </si>
  <si>
    <t xml:space="preserve">DEC-009</t>
  </si>
  <si>
    <t xml:space="preserve">Snapshot consistency for the full extract</t>
  </si>
  <si>
    <t xml:space="preserve">Shared repeatable-read snapshot / quiet window / accept and reconcile</t>
  </si>
  <si>
    <t xml:space="preserve">DEC-010</t>
  </si>
  <si>
    <t xml:space="preserve">Incremental strategy per table</t>
  </si>
  <si>
    <t xml:space="preserve">Watermark / monotonic key / change-log polling / snapshot diff</t>
  </si>
  <si>
    <t xml:space="preserve">DEC-011</t>
  </si>
  <si>
    <t xml:space="preserve">Bronze typing</t>
  </si>
  <si>
    <t xml:space="preserve">Typed vs all-string</t>
  </si>
  <si>
    <t xml:space="preserve">DEC-012</t>
  </si>
  <si>
    <t xml:space="preserve">Month / day of load / bucket on order id / department / unpartitioned sorted</t>
  </si>
  <si>
    <t xml:space="preserve">DEC-013</t>
  </si>
  <si>
    <t xml:space="preserve">Silver merge mode default</t>
  </si>
  <si>
    <t xml:space="preserve">Copy-on-write vs merge-on-read</t>
  </si>
  <si>
    <t xml:space="preserve">DEC-014</t>
  </si>
  <si>
    <t xml:space="preserve">Maintenance cadence and snapshot retention</t>
  </si>
  <si>
    <t xml:space="preserve">Per table type; balance time travel needs vs storage</t>
  </si>
  <si>
    <t xml:space="preserve">Configuration cards</t>
  </si>
  <si>
    <t xml:space="preserve">One card per key setting. Defaults come from the configuration map; verify them in the Environment tab of the Spark UI. Fill the yellow cells after an experiment.</t>
  </si>
  <si>
    <t xml:space="preserve">Config</t>
  </si>
  <si>
    <t xml:space="preserve">Default (verify)</t>
  </si>
  <si>
    <t xml:space="preserve">What it controls</t>
  </si>
  <si>
    <t xml:space="preserve">Too low / too high</t>
  </si>
  <si>
    <t xml:space="preserve">How I observed it</t>
  </si>
  <si>
    <t xml:space="preserve">Value chosen and why</t>
  </si>
  <si>
    <t xml:space="preserve">Interacts with</t>
  </si>
  <si>
    <t xml:space="preserve">Learned?</t>
  </si>
  <si>
    <t xml:space="preserve">P1/P2</t>
  </si>
  <si>
    <t xml:space="preserve">spark.sql.shuffle.partitions</t>
  </si>
  <si>
    <t xml:space="preserve">200</t>
  </si>
  <si>
    <t xml:space="preserve">Partitions after a shuffle (joins, aggregates)</t>
  </si>
  <si>
    <t xml:space="preserve">P2/P3</t>
  </si>
  <si>
    <t xml:space="preserve">spark.sql.adaptive.enabled</t>
  </si>
  <si>
    <t xml:space="preserve">true</t>
  </si>
  <si>
    <t xml:space="preserve">AQE master switch</t>
  </si>
  <si>
    <t xml:space="preserve">spark.sql.adaptive.advisoryPartitionSizeInBytes</t>
  </si>
  <si>
    <t xml:space="preserve">64MB</t>
  </si>
  <si>
    <t xml:space="preserve">Target partition size after coalescing or skew split</t>
  </si>
  <si>
    <t xml:space="preserve">spark.sql.adaptive.skewJoin.enabled</t>
  </si>
  <si>
    <t xml:space="preserve">Splits skewed partitions in sort-merge joins</t>
  </si>
  <si>
    <t xml:space="preserve">spark.sql.autoBroadcastJoinThreshold</t>
  </si>
  <si>
    <t xml:space="preserve">10MB</t>
  </si>
  <si>
    <t xml:space="preserve">Auto-broadcast size limit (-1 disables)</t>
  </si>
  <si>
    <t xml:space="preserve">spark.executor.cores</t>
  </si>
  <si>
    <t xml:space="preserve">all worker cores (standalone)</t>
  </si>
  <si>
    <t xml:space="preserve">Cores per executor</t>
  </si>
  <si>
    <t xml:space="preserve">spark.executor.memory</t>
  </si>
  <si>
    <t xml:space="preserve">1g</t>
  </si>
  <si>
    <t xml:space="preserve">Executor heap</t>
  </si>
  <si>
    <t xml:space="preserve">spark.cores.max</t>
  </si>
  <si>
    <t xml:space="preserve">unlimited</t>
  </si>
  <si>
    <t xml:space="preserve">Total cores an application may take</t>
  </si>
  <si>
    <t xml:space="preserve">spark.driver.memory</t>
  </si>
  <si>
    <t xml:space="preserve">Driver heap (collect, broadcast build)</t>
  </si>
  <si>
    <t xml:space="preserve">spark.memory.fraction</t>
  </si>
  <si>
    <t xml:space="preserve">0.6</t>
  </si>
  <si>
    <t xml:space="preserve">Heap share for execution plus storage</t>
  </si>
  <si>
    <t xml:space="preserve">spark.memory.storageFraction</t>
  </si>
  <si>
    <t xml:space="preserve">0.5</t>
  </si>
  <si>
    <t xml:space="preserve">Part of that share protected for cache</t>
  </si>
  <si>
    <t xml:space="preserve">JDBC numPartitions</t>
  </si>
  <si>
    <t xml:space="preserve">unset</t>
  </si>
  <si>
    <t xml:space="preserve">Read/write parallelism and max concurrent connections</t>
  </si>
  <si>
    <t xml:space="preserve">JDBC partitionColumn / lowerBound / upperBound</t>
  </si>
  <si>
    <t xml:space="preserve">Range split for parallel reads</t>
  </si>
  <si>
    <t xml:space="preserve">JDBC fetchsize</t>
  </si>
  <si>
    <t xml:space="preserve">driver default</t>
  </si>
  <si>
    <t xml:space="preserve">Rows per round trip; executor memory</t>
  </si>
  <si>
    <t xml:space="preserve">Iceberg write.target-file-size-bytes</t>
  </si>
  <si>
    <t xml:space="preserve">512MB</t>
  </si>
  <si>
    <t xml:space="preserve">Target data file size</t>
  </si>
  <si>
    <t xml:space="preserve">Iceberg write.distribution-mode</t>
  </si>
  <si>
    <t xml:space="preserve">check</t>
  </si>
  <si>
    <t xml:space="preserve">Shuffle before write: none, hash, range</t>
  </si>
  <si>
    <t xml:space="preserve">Iceberg write.merge.mode (and update/delete)</t>
  </si>
  <si>
    <t xml:space="preserve">copy-on-write</t>
  </si>
  <si>
    <t xml:space="preserve">S3A fs.s3a.connection.maximum</t>
  </si>
  <si>
    <t xml:space="preserve">Concurrent HTTP connections to RustFS</t>
  </si>
  <si>
    <t xml:space="preserve">Iceberg read.split.target-size</t>
  </si>
  <si>
    <t xml:space="preserve">128MB</t>
  </si>
  <si>
    <t xml:space="preserve">Scan task size for Iceberg tables</t>
  </si>
  <si>
    <t xml:space="preserve">spark.sql.execution.arrow.pyspark.enabled</t>
  </si>
  <si>
    <t xml:space="preserve">Arrow for pandas conversion</t>
  </si>
  <si>
    <t xml:space="preserve">spark.dynamicAllocation.enabled (+ shuffleTracking)</t>
  </si>
  <si>
    <t xml:space="preserve">false</t>
  </si>
  <si>
    <t xml:space="preserve">Scale executors up and down; tracking needed in standalone</t>
  </si>
  <si>
    <t xml:space="preserve">spark.speculation</t>
  </si>
  <si>
    <t xml:space="preserve">Re-run slow tasks</t>
  </si>
  <si>
    <t xml:space="preserve">spark.sql.ansi.enabled</t>
  </si>
  <si>
    <t xml:space="preserve">true in 4.x</t>
  </si>
  <si>
    <t xml:space="preserve">Strict casts and overflow errors; use try_* functions</t>
  </si>
  <si>
    <t xml:space="preserve">spark.sql.sources.partitionOverwriteMode</t>
  </si>
  <si>
    <t xml:space="preserve">static</t>
  </si>
  <si>
    <t xml:space="preserve">dynamic overwrites only touched partitions</t>
  </si>
  <si>
    <t xml:space="preserve">spark.sql.files.maxPartitionBytes</t>
  </si>
  <si>
    <t xml:space="preserve">Scan partition size for file sources (not Iceberg tables)</t>
  </si>
  <si>
    <t xml:space="preserve">spark.sql.cbo.enabled</t>
  </si>
  <si>
    <t xml:space="preserve">Use statistics for cost-based planning</t>
  </si>
  <si>
    <t xml:space="preserve">spark.sql.optimizer.dynamicPartitionPruning.enabled</t>
  </si>
  <si>
    <t xml:space="preserve">Prune partitions via joins</t>
  </si>
  <si>
    <t xml:space="preserve">spark.sql.optimizer.runtime.bloomFilter.enabled</t>
  </si>
  <si>
    <t xml:space="preserve">Bloom-filter runtime filter</t>
  </si>
  <si>
    <t xml:space="preserve">Streaming checkpointLocation</t>
  </si>
  <si>
    <t xml:space="preserve">none</t>
  </si>
  <si>
    <t xml:space="preserve">Offsets, commits and state</t>
  </si>
  <si>
    <t xml:space="preserve">Streaming trigger</t>
  </si>
  <si>
    <t xml:space="preserve">as fast as possible</t>
  </si>
  <si>
    <t xml:space="preserve">Fixed interval or available-now</t>
  </si>
  <si>
    <t xml:space="preserve">spark.sql.streaming.stateStore.providerClass</t>
  </si>
  <si>
    <t xml:space="preserve">HDFS-backed</t>
  </si>
  <si>
    <t xml:space="preserve">RocksDB provider for large state</t>
  </si>
  <si>
    <t xml:space="preserve">spark.sql.shuffle.partitions (stateful queries)</t>
  </si>
  <si>
    <t xml:space="preserve">Fixed per checkpoint once the stream has state</t>
  </si>
  <si>
    <t xml:space="preserve">All</t>
  </si>
  <si>
    <t xml:space="preserve">spark.eventLog.enabled / spark.eventLog.dir</t>
  </si>
  <si>
    <t xml:space="preserve">Event logs for the history server (can point at a bucket)</t>
  </si>
</sst>
</file>

<file path=xl/styles.xml><?xml version="1.0" encoding="utf-8"?>
<styleSheet xmlns="http://schemas.openxmlformats.org/spreadsheetml/2006/main">
  <numFmts count="7">
    <numFmt numFmtId="164" formatCode="General"/>
    <numFmt numFmtId="165" formatCode="General"/>
    <numFmt numFmtId="166" formatCode="0%"/>
    <numFmt numFmtId="167" formatCode="yyyy\-mm\-dd"/>
    <numFmt numFmtId="168" formatCode="#,##0"/>
    <numFmt numFmtId="169" formatCode="0.0"/>
    <numFmt numFmtId="170"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7F7F7F"/>
      <name val="Arial"/>
      <family val="0"/>
      <charset val="1"/>
    </font>
    <font>
      <b val="true"/>
      <sz val="11"/>
      <color rgb="FFFFFFFF"/>
      <name val="Arial"/>
      <family val="0"/>
      <charset val="1"/>
    </font>
    <font>
      <sz val="10"/>
      <color rgb="FF000000"/>
      <name val="Arial"/>
      <family val="0"/>
      <charset val="1"/>
    </font>
    <font>
      <b val="true"/>
      <sz val="10"/>
      <color rgb="FFFFFFFF"/>
      <name val="Arial"/>
      <family val="0"/>
      <charset val="1"/>
    </font>
    <font>
      <b val="true"/>
      <sz val="11"/>
      <color rgb="FF000000"/>
      <name val="Arial"/>
      <family val="0"/>
      <charset val="1"/>
    </font>
    <font>
      <sz val="10"/>
      <color rgb="FF7F7F7F"/>
      <name val="Arial"/>
      <family val="0"/>
      <charset val="1"/>
    </font>
    <font>
      <sz val="10"/>
      <color rgb="FF1F3864"/>
      <name val="Arial"/>
      <family val="0"/>
      <charset val="1"/>
    </font>
    <font>
      <b val="true"/>
      <sz val="10"/>
      <color rgb="FF000000"/>
      <name val="Arial"/>
      <family val="0"/>
      <charset val="1"/>
    </font>
    <font>
      <u val="single"/>
      <sz val="10"/>
      <color rgb="FF0563C1"/>
      <name val="Arial"/>
      <family val="0"/>
      <charset val="1"/>
    </font>
    <font>
      <sz val="9"/>
      <color rgb="FF000000"/>
      <name val="Arial"/>
      <family val="0"/>
      <charset val="1"/>
    </font>
    <font>
      <b val="true"/>
      <sz val="11"/>
      <color rgb="FF1F3864"/>
      <name val="Arial"/>
      <family val="0"/>
      <charset val="1"/>
    </font>
    <font>
      <sz val="9"/>
      <color rgb="FF7F7F7F"/>
      <name val="Arial"/>
      <family val="0"/>
      <charset val="1"/>
    </font>
    <font>
      <sz val="10"/>
      <color rgb="FF1F4E79"/>
      <name val="Arial"/>
      <family val="0"/>
      <charset val="1"/>
    </font>
    <font>
      <b val="true"/>
      <sz val="12"/>
      <color rgb="FF1F3864"/>
      <name val="Arial"/>
      <family val="0"/>
      <charset val="1"/>
    </font>
  </fonts>
  <fills count="7">
    <fill>
      <patternFill patternType="none"/>
    </fill>
    <fill>
      <patternFill patternType="gray125"/>
    </fill>
    <fill>
      <patternFill patternType="solid">
        <fgColor rgb="FF2F5597"/>
        <bgColor rgb="FF1F4E79"/>
      </patternFill>
    </fill>
    <fill>
      <patternFill patternType="solid">
        <fgColor rgb="FF1F3864"/>
        <bgColor rgb="FF1F4E79"/>
      </patternFill>
    </fill>
    <fill>
      <patternFill patternType="solid">
        <fgColor rgb="FFD9E2F3"/>
        <bgColor rgb="FFEDEDED"/>
      </patternFill>
    </fill>
    <fill>
      <patternFill patternType="solid">
        <fgColor rgb="FFFFF2CC"/>
        <bgColor rgb="FFF2F2F2"/>
      </patternFill>
    </fill>
    <fill>
      <patternFill patternType="solid">
        <fgColor rgb="FFF2F2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6" fontId="12"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15" fillId="4" borderId="1" xfId="0" applyFont="tru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7" fontId="7"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false" indent="0" shrinkToFit="false"/>
      <protection locked="true" hidden="false"/>
    </xf>
    <xf numFmtId="167" fontId="7" fillId="5"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8" fontId="5" fillId="6" borderId="1"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true" applyProtection="false">
      <alignment horizontal="general" vertical="top" textRotation="0" wrapText="true" indent="0" shrinkToFit="false"/>
      <protection locked="true" hidden="false"/>
    </xf>
    <xf numFmtId="168" fontId="7" fillId="5"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70" fontId="5" fillId="6" borderId="1" xfId="0" applyFont="true" applyBorder="true" applyAlignment="true" applyProtection="false">
      <alignment horizontal="general" vertical="top" textRotation="0" wrapText="true" indent="0" shrinkToFit="false"/>
      <protection locked="true" hidden="false"/>
    </xf>
    <xf numFmtId="170" fontId="7" fillId="5"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name val="Arial"/>
        <charset val="1"/>
        <family val="0"/>
        <b val="1"/>
        <color rgb="FF9C0006"/>
      </font>
      <fill>
        <patternFill>
          <bgColor rgb="FFFFC7CE"/>
        </patternFill>
      </fill>
    </dxf>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FFF2CC"/>
          <bgColor rgb="FF000000"/>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color rgb="FF7F7F7F"/>
      </font>
      <fill>
        <patternFill>
          <bgColor rgb="FFEDEDED"/>
        </patternFill>
      </fill>
    </dxf>
    <dxf>
      <font>
        <name val="Arial"/>
        <charset val="1"/>
        <family val="0"/>
        <strike val="1"/>
        <color rgb="FF7F7F7F"/>
      </font>
    </dxf>
    <dxf>
      <fill>
        <patternFill patternType="solid">
          <fgColor rgb="FFF2F2F2"/>
          <bgColor rgb="FF000000"/>
        </patternFill>
      </fill>
    </dxf>
    <dxf>
      <fill>
        <patternFill>
          <bgColor rgb="FFC6EFCE"/>
        </patternFill>
      </fill>
    </dxf>
    <dxf>
      <fill>
        <patternFill>
          <bgColor rgb="FFFFC7CE"/>
        </patternFill>
      </fill>
    </dxf>
    <dxf>
      <fill>
        <patternFill patternType="solid">
          <fgColor rgb="FF9C0006"/>
          <bgColor rgb="FF000000"/>
        </patternFill>
      </fill>
    </dxf>
    <dxf>
      <fill>
        <patternFill>
          <bgColor rgb="FFFFEB9C"/>
        </patternFill>
      </fill>
    </dxf>
    <dxf>
      <fill>
        <patternFill>
          <bgColor rgb="FFEDEDED"/>
        </patternFill>
      </fill>
    </dxf>
    <dxf>
      <font>
        <name val="Arial"/>
        <charset val="1"/>
        <family val="0"/>
        <b val="1"/>
        <color rgb="FF9C0006"/>
      </font>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7F7F7F"/>
      <rgbColor rgb="FF9999FF"/>
      <rgbColor rgb="FF7030A0"/>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BF9000"/>
      <rgbColor rgb="FFED7D31"/>
      <rgbColor rgb="FF2F5597"/>
      <rgbColor rgb="FF969696"/>
      <rgbColor rgb="FF1F3864"/>
      <rgbColor rgb="FF339966"/>
      <rgbColor rgb="FF003300"/>
      <rgbColor rgb="FF333300"/>
      <rgbColor rgb="FF9C57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park-lakehouse-lab-tracker.xlsx" TargetMode="External"/><Relationship Id="rId2" Type="http://schemas.openxmlformats.org/officeDocument/2006/relationships/hyperlink" Target="spark-lakehouse-lab-tracker.xlsx" TargetMode="External"/><Relationship Id="rId3" Type="http://schemas.openxmlformats.org/officeDocument/2006/relationships/hyperlink" Target="spark-lakehouse-lab-tracker.xlsx" TargetMode="External"/><Relationship Id="rId4" Type="http://schemas.openxmlformats.org/officeDocument/2006/relationships/hyperlink" Target="spark-lakehouse-lab-tracker.xlsx" TargetMode="External"/><Relationship Id="rId5" Type="http://schemas.openxmlformats.org/officeDocument/2006/relationships/hyperlink" Target="spark-lakehouse-lab-tracker.xlsx" TargetMode="External"/><Relationship Id="rId6" Type="http://schemas.openxmlformats.org/officeDocument/2006/relationships/hyperlink" Target="spark-lakehouse-lab-tracker.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J1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4"/>
    <col collapsed="false" customWidth="true" hidden="false" outlineLevel="0" max="10" min="10" style="0" width="62"/>
  </cols>
  <sheetData>
    <row r="1" customFormat="false" ht="25.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c r="F4" s="4"/>
      <c r="G4" s="4"/>
      <c r="H4" s="4"/>
      <c r="I4" s="4"/>
      <c r="J4" s="4"/>
    </row>
    <row r="5" customFormat="false" ht="15" hidden="false" customHeight="false" outlineLevel="0" collapsed="false">
      <c r="A5" s="5" t="s">
        <v>3</v>
      </c>
    </row>
    <row r="6" customFormat="false" ht="15" hidden="false" customHeight="false" outlineLevel="0" collapsed="false">
      <c r="A6" s="5" t="s">
        <v>4</v>
      </c>
    </row>
    <row r="7" customFormat="false" ht="15" hidden="false" customHeight="false" outlineLevel="0" collapsed="false">
      <c r="A7" s="5" t="s">
        <v>5</v>
      </c>
    </row>
    <row r="8" customFormat="false" ht="15" hidden="false" customHeight="false" outlineLevel="0" collapsed="false">
      <c r="A8" s="5" t="s">
        <v>6</v>
      </c>
    </row>
    <row r="9" customFormat="false" ht="15" hidden="false" customHeight="false" outlineLevel="0" collapsed="false">
      <c r="A9" s="5" t="s">
        <v>7</v>
      </c>
    </row>
    <row r="11" customFormat="false" ht="15" hidden="false" customHeight="false" outlineLevel="0" collapsed="false">
      <c r="A11" s="3" t="s">
        <v>8</v>
      </c>
      <c r="B11" s="4"/>
      <c r="C11" s="4"/>
      <c r="D11" s="4"/>
      <c r="E11" s="4"/>
      <c r="F11" s="4"/>
      <c r="G11" s="4"/>
      <c r="H11" s="4"/>
      <c r="I11" s="4"/>
      <c r="J11" s="4"/>
    </row>
    <row r="12" customFormat="false" ht="30" hidden="false" customHeight="true" outlineLevel="0" collapsed="false">
      <c r="A12" s="6" t="s">
        <v>9</v>
      </c>
      <c r="B12" s="6" t="s">
        <v>10</v>
      </c>
      <c r="C12" s="6" t="s">
        <v>11</v>
      </c>
      <c r="D12" s="6" t="s">
        <v>12</v>
      </c>
      <c r="E12" s="6" t="s">
        <v>13</v>
      </c>
      <c r="F12" s="6" t="s">
        <v>14</v>
      </c>
      <c r="G12" s="6" t="s">
        <v>15</v>
      </c>
      <c r="H12" s="6" t="s">
        <v>16</v>
      </c>
      <c r="I12" s="6" t="s">
        <v>17</v>
      </c>
      <c r="J12" s="6" t="s">
        <v>18</v>
      </c>
    </row>
    <row r="13" customFormat="false" ht="24" hidden="false" customHeight="true" outlineLevel="0" collapsed="false">
      <c r="A13" s="7" t="s">
        <v>19</v>
      </c>
      <c r="B13" s="8" t="s">
        <v>20</v>
      </c>
      <c r="C13" s="9" t="n">
        <f aca="false">SUM(C17:C22)</f>
        <v>498</v>
      </c>
      <c r="D13" s="9" t="n">
        <f aca="false">SUM(D17:D22)</f>
        <v>0</v>
      </c>
      <c r="E13" s="9" t="n">
        <f aca="false">SUM(E17:E22)</f>
        <v>0</v>
      </c>
      <c r="F13" s="9" t="n">
        <f aca="false">SUM(F17:F22)</f>
        <v>0</v>
      </c>
      <c r="G13" s="9" t="n">
        <f aca="false">SUM(G17:G22)</f>
        <v>498</v>
      </c>
      <c r="H13" s="9" t="n">
        <f aca="false">SUM(H17:H22)</f>
        <v>0</v>
      </c>
      <c r="I13" s="10" t="n">
        <f aca="false">IFERROR(D13/(C13-H13),0)</f>
        <v>0</v>
      </c>
      <c r="J13" s="11" t="str">
        <f aca="false">D13&amp;" of "&amp;(C13-H13)&amp;" items complete"</f>
        <v>0 of 498 items complete</v>
      </c>
    </row>
    <row r="15" customFormat="false" ht="15" hidden="false" customHeight="false" outlineLevel="0" collapsed="false">
      <c r="A15" s="3" t="s">
        <v>21</v>
      </c>
      <c r="B15" s="4"/>
      <c r="C15" s="4"/>
      <c r="D15" s="4"/>
      <c r="E15" s="4"/>
      <c r="F15" s="4"/>
      <c r="G15" s="4"/>
      <c r="H15" s="4"/>
      <c r="I15" s="4"/>
      <c r="J15" s="4"/>
    </row>
    <row r="16" customFormat="false" ht="30" hidden="false" customHeight="true" outlineLevel="0" collapsed="false">
      <c r="A16" s="6" t="s">
        <v>22</v>
      </c>
      <c r="B16" s="6" t="s">
        <v>23</v>
      </c>
      <c r="C16" s="6" t="s">
        <v>11</v>
      </c>
      <c r="D16" s="6" t="s">
        <v>12</v>
      </c>
      <c r="E16" s="6" t="s">
        <v>13</v>
      </c>
      <c r="F16" s="6" t="s">
        <v>14</v>
      </c>
      <c r="G16" s="6" t="s">
        <v>15</v>
      </c>
      <c r="H16" s="6" t="s">
        <v>16</v>
      </c>
      <c r="I16" s="6" t="s">
        <v>17</v>
      </c>
      <c r="J16" s="6" t="s">
        <v>24</v>
      </c>
    </row>
    <row r="17" customFormat="false" ht="39.75" hidden="false" customHeight="true" outlineLevel="0" collapsed="false">
      <c r="A17" s="12" t="s">
        <v>25</v>
      </c>
      <c r="B17" s="13" t="s">
        <v>26</v>
      </c>
      <c r="C17" s="14" t="n">
        <f aca="false">SUM(D17:H17)</f>
        <v>47</v>
      </c>
      <c r="D17" s="14" t="n">
        <f aca="false">COUNTIF(Setup!$E$6:$E$600,"Done")</f>
        <v>0</v>
      </c>
      <c r="E17" s="14" t="n">
        <f aca="false">COUNTIF(Setup!$E$6:$E$600,"In progress")</f>
        <v>0</v>
      </c>
      <c r="F17" s="14" t="n">
        <f aca="false">COUNTIF(Setup!$E$6:$E$600,"Blocked")</f>
        <v>0</v>
      </c>
      <c r="G17" s="14" t="n">
        <f aca="false">COUNTIF(Setup!$E$6:$E$600,"Not started")</f>
        <v>47</v>
      </c>
      <c r="H17" s="14" t="n">
        <f aca="false">COUNTIF(Setup!$E$6:$E$600,"Skipped")</f>
        <v>0</v>
      </c>
      <c r="I17" s="15" t="n">
        <f aca="false">IFERROR(D17/(C17-H17),0)</f>
        <v>0</v>
      </c>
      <c r="J17" s="16" t="str">
        <f aca="false">IFERROR(INDEX(Setup!$C$6:$C$600,MATCH("In progress",Setup!$E$6:$E$600,0)),IFERROR(INDEX(Setup!$C$6:$C$600,MATCH("Not started",Setup!$E$6:$E$600,0)),"All items complete"))</f>
        <v>Gate A: find the Iceberg Spark runtime artifact that matches your Spark minor version (Scala 2.13) on Maven Central. If the Spark 4.2 runtime is missing, pin Spark to the newest 4.x that has one. Record in Environment and Decisions.</v>
      </c>
    </row>
    <row r="18" customFormat="false" ht="39.75" hidden="false" customHeight="true" outlineLevel="0" collapsed="false">
      <c r="A18" s="12" t="s">
        <v>27</v>
      </c>
      <c r="B18" s="13" t="s">
        <v>28</v>
      </c>
      <c r="C18" s="14" t="n">
        <f aca="false">SUM(D18:H18)</f>
        <v>113</v>
      </c>
      <c r="D18" s="14" t="n">
        <f aca="false">COUNTIF(P1_ETL!$E$6:$E$600,"Done")</f>
        <v>0</v>
      </c>
      <c r="E18" s="14" t="n">
        <f aca="false">COUNTIF(P1_ETL!$E$6:$E$600,"In progress")</f>
        <v>0</v>
      </c>
      <c r="F18" s="14" t="n">
        <f aca="false">COUNTIF(P1_ETL!$E$6:$E$600,"Blocked")</f>
        <v>0</v>
      </c>
      <c r="G18" s="14" t="n">
        <f aca="false">COUNTIF(P1_ETL!$E$6:$E$600,"Not started")</f>
        <v>113</v>
      </c>
      <c r="H18" s="14" t="n">
        <f aca="false">COUNTIF(P1_ETL!$E$6:$E$600,"Skipped")</f>
        <v>0</v>
      </c>
      <c r="I18" s="15" t="n">
        <f aca="false">IFERROR(D18/(C18-H18),0)</f>
        <v>0</v>
      </c>
      <c r="J18" s="16" t="str">
        <f aca="false">IFERROR(INDEX(P1_ETL!$C$6:$C$600,MATCH("In progress",P1_ETL!$E$6:$E$600,0)),IFERROR(INDEX(P1_ETL!$C$6:$C$600,MATCH("Not started",P1_ETL!$E$6:$E$600,0)),"All items complete"))</f>
        <v>Keep an untouched copy of the raw files in landing/raw_dump (everything must be reproducible from it).</v>
      </c>
    </row>
    <row r="19" customFormat="false" ht="39.75" hidden="false" customHeight="true" outlineLevel="0" collapsed="false">
      <c r="A19" s="12" t="s">
        <v>29</v>
      </c>
      <c r="B19" s="13" t="s">
        <v>30</v>
      </c>
      <c r="C19" s="14" t="n">
        <f aca="false">SUM(D19:H19)</f>
        <v>91</v>
      </c>
      <c r="D19" s="14" t="n">
        <f aca="false">COUNTIF(P2_Joins!$E$6:$E$600,"Done")</f>
        <v>0</v>
      </c>
      <c r="E19" s="14" t="n">
        <f aca="false">COUNTIF(P2_Joins!$E$6:$E$600,"In progress")</f>
        <v>0</v>
      </c>
      <c r="F19" s="14" t="n">
        <f aca="false">COUNTIF(P2_Joins!$E$6:$E$600,"Blocked")</f>
        <v>0</v>
      </c>
      <c r="G19" s="14" t="n">
        <f aca="false">COUNTIF(P2_Joins!$E$6:$E$600,"Not started")</f>
        <v>91</v>
      </c>
      <c r="H19" s="14" t="n">
        <f aca="false">COUNTIF(P2_Joins!$E$6:$E$600,"Skipped")</f>
        <v>0</v>
      </c>
      <c r="I19" s="15" t="n">
        <f aca="false">IFERROR(D19/(C19-H19),0)</f>
        <v>0</v>
      </c>
      <c r="J19" s="16" t="str">
        <f aca="false">IFERROR(INDEX(P2_Joins!$C$6:$C$600,MATCH("In progress",P2_Joins!$E$6:$E$600,0)),IFERROR(INDEX(P2_Joins!$C$6:$C$600,MATCH("Not started",P2_Joins!$E$6:$E$600,0)),"All items complete"))</f>
        <v>Freeze the data version: record Iceberg snapshot ids of lines, orders, products, aisles, departments, users, stores, price book, payments, events.</v>
      </c>
    </row>
    <row r="20" customFormat="false" ht="39.75" hidden="false" customHeight="true" outlineLevel="0" collapsed="false">
      <c r="A20" s="12" t="s">
        <v>31</v>
      </c>
      <c r="B20" s="13" t="s">
        <v>32</v>
      </c>
      <c r="C20" s="14" t="n">
        <f aca="false">SUM(D20:H20)</f>
        <v>79</v>
      </c>
      <c r="D20" s="14" t="n">
        <f aca="false">COUNTIF(P3_Planner!$E$6:$E$600,"Done")</f>
        <v>0</v>
      </c>
      <c r="E20" s="14" t="n">
        <f aca="false">COUNTIF(P3_Planner!$E$6:$E$600,"In progress")</f>
        <v>0</v>
      </c>
      <c r="F20" s="14" t="n">
        <f aca="false">COUNTIF(P3_Planner!$E$6:$E$600,"Blocked")</f>
        <v>0</v>
      </c>
      <c r="G20" s="14" t="n">
        <f aca="false">COUNTIF(P3_Planner!$E$6:$E$600,"Not started")</f>
        <v>79</v>
      </c>
      <c r="H20" s="14" t="n">
        <f aca="false">COUNTIF(P3_Planner!$E$6:$E$600,"Skipped")</f>
        <v>0</v>
      </c>
      <c r="I20" s="15" t="n">
        <f aca="false">IFERROR(D20/(C20-H20),0)</f>
        <v>0</v>
      </c>
      <c r="J20" s="16" t="str">
        <f aca="false">IFERROR(INDEX(P3_Planner!$C$6:$C$600,MATCH("In progress",P3_Planner!$E$6:$E$600,0)),IFERROR(INDEX(P3_Planner!$C$6:$C$600,MATCH("Not started",P3_Planner!$E$6:$E$600,0)),"All items complete"))</f>
        <v>Build lines/events variants: unsorted monthly-partitioned; sorted by product; z-ordered (department, hour); unpartitioned sorted; raw Parquet copy in landing.</v>
      </c>
    </row>
    <row r="21" customFormat="false" ht="39.75" hidden="false" customHeight="true" outlineLevel="0" collapsed="false">
      <c r="A21" s="12" t="s">
        <v>33</v>
      </c>
      <c r="B21" s="13" t="s">
        <v>34</v>
      </c>
      <c r="C21" s="14" t="n">
        <f aca="false">SUM(D21:H21)</f>
        <v>91</v>
      </c>
      <c r="D21" s="14" t="n">
        <f aca="false">COUNTIF(P4_Perf!$E$6:$E$600,"Done")</f>
        <v>0</v>
      </c>
      <c r="E21" s="14" t="n">
        <f aca="false">COUNTIF(P4_Perf!$E$6:$E$600,"In progress")</f>
        <v>0</v>
      </c>
      <c r="F21" s="14" t="n">
        <f aca="false">COUNTIF(P4_Perf!$E$6:$E$600,"Blocked")</f>
        <v>0</v>
      </c>
      <c r="G21" s="14" t="n">
        <f aca="false">COUNTIF(P4_Perf!$E$6:$E$600,"Not started")</f>
        <v>91</v>
      </c>
      <c r="H21" s="14" t="n">
        <f aca="false">COUNTIF(P4_Perf!$E$6:$E$600,"Skipped")</f>
        <v>0</v>
      </c>
      <c r="I21" s="15" t="n">
        <f aca="false">IFERROR(D21/(C21-H21),0)</f>
        <v>0</v>
      </c>
      <c r="J21" s="16" t="str">
        <f aca="false">IFERROR(INDEX(P4_Perf!$C$6:$C$600,MATCH("In progress",P4_Perf!$E$6:$E$600,0)),IFERROR(INDEX(P4_Perf!$C$6:$C$600,MATCH("Not started",P4_Perf!$E$6:$E$600,0)),"All items complete"))</f>
        <v>Define W1-W6: scan-heavy, shuffle-heavy, CPU-heavy (per-line score), memory-heavy (cache + wide aggregation), write-heavy (layout rewrite), mixed user-feature build.</v>
      </c>
    </row>
    <row r="22" customFormat="false" ht="39.75" hidden="false" customHeight="true" outlineLevel="0" collapsed="false">
      <c r="A22" s="12" t="s">
        <v>35</v>
      </c>
      <c r="B22" s="13" t="s">
        <v>36</v>
      </c>
      <c r="C22" s="14" t="n">
        <f aca="false">SUM(D22:H22)</f>
        <v>77</v>
      </c>
      <c r="D22" s="14" t="n">
        <f aca="false">COUNTIF(P5_Streaming!$E$6:$E$600,"Done")</f>
        <v>0</v>
      </c>
      <c r="E22" s="14" t="n">
        <f aca="false">COUNTIF(P5_Streaming!$E$6:$E$600,"In progress")</f>
        <v>0</v>
      </c>
      <c r="F22" s="14" t="n">
        <f aca="false">COUNTIF(P5_Streaming!$E$6:$E$600,"Blocked")</f>
        <v>0</v>
      </c>
      <c r="G22" s="14" t="n">
        <f aca="false">COUNTIF(P5_Streaming!$E$6:$E$600,"Not started")</f>
        <v>77</v>
      </c>
      <c r="H22" s="14" t="n">
        <f aca="false">COUNTIF(P5_Streaming!$E$6:$E$600,"Skipped")</f>
        <v>0</v>
      </c>
      <c r="I22" s="15" t="n">
        <f aca="false">IFERROR(D22/(C22-H22),0)</f>
        <v>0</v>
      </c>
      <c r="J22" s="16" t="str">
        <f aca="false">IFERROR(INDEX(P5_Streaming!$C$6:$C$600,MATCH("In progress",P5_Streaming!$E$6:$E$600,0)),IFERROR(INDEX(P5_Streaming!$C$6:$C$600,MATCH("Not started",P5_Streaming!$E$6:$E$600,0)),"All items complete"))</f>
        <v>Clickstream producer around real baskets, with duplicates/replays, malformed lines, schema drift, out-of-order events and ~2% very late events.</v>
      </c>
    </row>
    <row r="24" customFormat="false" ht="15" hidden="false" customHeight="false" outlineLevel="0" collapsed="false">
      <c r="A24" s="3" t="s">
        <v>37</v>
      </c>
      <c r="B24" s="4"/>
      <c r="C24" s="4"/>
      <c r="D24" s="4"/>
      <c r="E24" s="4"/>
      <c r="F24" s="4"/>
      <c r="G24" s="4"/>
      <c r="H24" s="4"/>
      <c r="I24" s="4"/>
      <c r="J24" s="4"/>
    </row>
    <row r="25" customFormat="false" ht="30" hidden="false" customHeight="true" outlineLevel="0" collapsed="false">
      <c r="A25" s="6" t="s">
        <v>38</v>
      </c>
      <c r="B25" s="6" t="s">
        <v>39</v>
      </c>
      <c r="C25" s="6" t="s">
        <v>40</v>
      </c>
    </row>
    <row r="26" customFormat="false" ht="15" hidden="false" customHeight="false" outlineLevel="0" collapsed="false">
      <c r="A26" s="12" t="s">
        <v>41</v>
      </c>
      <c r="B26" s="17" t="s">
        <v>42</v>
      </c>
      <c r="C26" s="14" t="n">
        <f aca="false">COUNTA(Experiments!$A$7:$A$106)</f>
        <v>0</v>
      </c>
    </row>
    <row r="27" customFormat="false" ht="15" hidden="false" customHeight="false" outlineLevel="0" collapsed="false">
      <c r="A27" s="12" t="s">
        <v>41</v>
      </c>
      <c r="B27" s="17" t="s">
        <v>43</v>
      </c>
      <c r="C27" s="14" t="n">
        <f aca="false">COUNTIF(Experiments!$M$7:$M$106,"Yes")</f>
        <v>0</v>
      </c>
    </row>
    <row r="28" customFormat="false" ht="15" hidden="false" customHeight="false" outlineLevel="0" collapsed="false">
      <c r="A28" s="12" t="s">
        <v>41</v>
      </c>
      <c r="B28" s="17" t="s">
        <v>44</v>
      </c>
      <c r="C28" s="18" t="n">
        <f aca="false">IFERROR(COUNTIF(Experiments!$M$7:$M$106,"Yes")/(COUNTIF(Experiments!$M$7:$M$106,"Yes")+COUNTIF(Experiments!$M$7:$M$106,"No")+COUNTIF(Experiments!$M$7:$M$106,"Partly")),0)</f>
        <v>0</v>
      </c>
    </row>
    <row r="29" customFormat="false" ht="15" hidden="false" customHeight="false" outlineLevel="0" collapsed="false">
      <c r="A29" s="12" t="s">
        <v>45</v>
      </c>
      <c r="B29" s="17" t="s">
        <v>46</v>
      </c>
      <c r="C29" s="14" t="n">
        <f aca="false">COUNTA(Defects!$A$7:$A$60)</f>
        <v>11</v>
      </c>
    </row>
    <row r="30" customFormat="false" ht="15" hidden="false" customHeight="false" outlineLevel="0" collapsed="false">
      <c r="A30" s="12" t="s">
        <v>45</v>
      </c>
      <c r="B30" s="17" t="s">
        <v>47</v>
      </c>
      <c r="C30" s="14" t="n">
        <f aca="false">COUNTIF(Defects!$M$7:$M$60,"Handled")</f>
        <v>0</v>
      </c>
    </row>
    <row r="31" customFormat="false" ht="15" hidden="false" customHeight="false" outlineLevel="0" collapsed="false">
      <c r="A31" s="12" t="s">
        <v>45</v>
      </c>
      <c r="B31" s="17" t="s">
        <v>48</v>
      </c>
      <c r="C31" s="14" t="n">
        <f aca="false">COUNTIF(Defects!$M$7:$M$60,"To verify")</f>
        <v>11</v>
      </c>
    </row>
    <row r="32" customFormat="false" ht="15" hidden="false" customHeight="false" outlineLevel="0" collapsed="false">
      <c r="A32" s="12" t="s">
        <v>49</v>
      </c>
      <c r="B32" s="17" t="s">
        <v>50</v>
      </c>
      <c r="C32" s="14" t="n">
        <f aca="false">COUNTIF(Decisions!$H$7:$H$40,"Decided")</f>
        <v>0</v>
      </c>
    </row>
    <row r="33" customFormat="false" ht="15" hidden="false" customHeight="false" outlineLevel="0" collapsed="false">
      <c r="A33" s="12" t="s">
        <v>49</v>
      </c>
      <c r="B33" s="17" t="s">
        <v>51</v>
      </c>
      <c r="C33" s="14" t="n">
        <f aca="false">COUNTIF(Decisions!$H$7:$H$40,"Open")</f>
        <v>14</v>
      </c>
    </row>
    <row r="34" customFormat="false" ht="15" hidden="false" customHeight="false" outlineLevel="0" collapsed="false">
      <c r="A34" s="12" t="s">
        <v>52</v>
      </c>
      <c r="B34" s="17" t="s">
        <v>53</v>
      </c>
      <c r="C34" s="14" t="n">
        <f aca="false">COUNTIF(Config_Cards!$I$6:$I$38,"Learned")</f>
        <v>0</v>
      </c>
    </row>
    <row r="35" customFormat="false" ht="15" hidden="false" customHeight="false" outlineLevel="0" collapsed="false">
      <c r="A35" s="12" t="s">
        <v>52</v>
      </c>
      <c r="B35" s="17" t="s">
        <v>11</v>
      </c>
      <c r="C35" s="14" t="n">
        <f aca="false">COUNTA(Config_Cards!$B$6:$B$38)</f>
        <v>33</v>
      </c>
    </row>
    <row r="37" customFormat="false" ht="15" hidden="false" customHeight="false" outlineLevel="0" collapsed="false">
      <c r="A37" s="3" t="s">
        <v>54</v>
      </c>
      <c r="B37" s="4"/>
      <c r="C37" s="4"/>
      <c r="D37" s="4"/>
      <c r="E37" s="4"/>
      <c r="F37" s="4"/>
      <c r="G37" s="4"/>
      <c r="H37" s="4"/>
      <c r="I37" s="4"/>
      <c r="J37" s="4"/>
    </row>
    <row r="38" customFormat="false" ht="30" hidden="false" customHeight="true" outlineLevel="0" collapsed="false">
      <c r="A38" s="6" t="s">
        <v>22</v>
      </c>
      <c r="B38" s="6" t="s">
        <v>55</v>
      </c>
      <c r="C38" s="6" t="s">
        <v>11</v>
      </c>
      <c r="D38" s="6" t="s">
        <v>12</v>
      </c>
      <c r="E38" s="6" t="s">
        <v>13</v>
      </c>
      <c r="F38" s="6" t="s">
        <v>14</v>
      </c>
      <c r="G38" s="6" t="s">
        <v>15</v>
      </c>
      <c r="H38" s="6" t="s">
        <v>16</v>
      </c>
      <c r="I38" s="6" t="s">
        <v>17</v>
      </c>
    </row>
    <row r="39" customFormat="false" ht="15" hidden="false" customHeight="false" outlineLevel="0" collapsed="false">
      <c r="A39" s="19" t="s">
        <v>56</v>
      </c>
      <c r="B39" s="17" t="s">
        <v>57</v>
      </c>
      <c r="C39" s="14" t="n">
        <f aca="false">SUM(D39:H39)</f>
        <v>5</v>
      </c>
      <c r="D39" s="14" t="n">
        <f aca="false">COUNTIFS(Setup!$B$6:$B$600,$B39,Setup!$E$6:$E$600,"Done")</f>
        <v>0</v>
      </c>
      <c r="E39" s="14" t="n">
        <f aca="false">COUNTIFS(Setup!$B$6:$B$600,$B39,Setup!$E$6:$E$600,"In progress")</f>
        <v>0</v>
      </c>
      <c r="F39" s="14" t="n">
        <f aca="false">COUNTIFS(Setup!$B$6:$B$600,$B39,Setup!$E$6:$E$600,"Blocked")</f>
        <v>0</v>
      </c>
      <c r="G39" s="14" t="n">
        <f aca="false">COUNTIFS(Setup!$B$6:$B$600,$B39,Setup!$E$6:$E$600,"Not started")</f>
        <v>5</v>
      </c>
      <c r="H39" s="14" t="n">
        <f aca="false">COUNTIFS(Setup!$B$6:$B$600,$B39,Setup!$E$6:$E$600,"Skipped")</f>
        <v>0</v>
      </c>
      <c r="I39" s="20" t="n">
        <f aca="false">IFERROR(D39/(C39-H39),0)</f>
        <v>0</v>
      </c>
    </row>
    <row r="40" customFormat="false" ht="15" hidden="false" customHeight="false" outlineLevel="0" collapsed="false">
      <c r="A40" s="19" t="s">
        <v>56</v>
      </c>
      <c r="B40" s="17" t="s">
        <v>58</v>
      </c>
      <c r="C40" s="14" t="n">
        <f aca="false">SUM(D40:H40)</f>
        <v>10</v>
      </c>
      <c r="D40" s="14" t="n">
        <f aca="false">COUNTIFS(Setup!$B$6:$B$600,$B40,Setup!$E$6:$E$600,"Done")</f>
        <v>0</v>
      </c>
      <c r="E40" s="14" t="n">
        <f aca="false">COUNTIFS(Setup!$B$6:$B$600,$B40,Setup!$E$6:$E$600,"In progress")</f>
        <v>0</v>
      </c>
      <c r="F40" s="14" t="n">
        <f aca="false">COUNTIFS(Setup!$B$6:$B$600,$B40,Setup!$E$6:$E$600,"Blocked")</f>
        <v>0</v>
      </c>
      <c r="G40" s="14" t="n">
        <f aca="false">COUNTIFS(Setup!$B$6:$B$600,$B40,Setup!$E$6:$E$600,"Not started")</f>
        <v>10</v>
      </c>
      <c r="H40" s="14" t="n">
        <f aca="false">COUNTIFS(Setup!$B$6:$B$600,$B40,Setup!$E$6:$E$600,"Skipped")</f>
        <v>0</v>
      </c>
      <c r="I40" s="20" t="n">
        <f aca="false">IFERROR(D40/(C40-H40),0)</f>
        <v>0</v>
      </c>
    </row>
    <row r="41" customFormat="false" ht="15" hidden="false" customHeight="false" outlineLevel="0" collapsed="false">
      <c r="A41" s="19" t="s">
        <v>56</v>
      </c>
      <c r="B41" s="17" t="s">
        <v>59</v>
      </c>
      <c r="C41" s="14" t="n">
        <f aca="false">SUM(D41:H41)</f>
        <v>8</v>
      </c>
      <c r="D41" s="14" t="n">
        <f aca="false">COUNTIFS(Setup!$B$6:$B$600,$B41,Setup!$E$6:$E$600,"Done")</f>
        <v>0</v>
      </c>
      <c r="E41" s="14" t="n">
        <f aca="false">COUNTIFS(Setup!$B$6:$B$600,$B41,Setup!$E$6:$E$600,"In progress")</f>
        <v>0</v>
      </c>
      <c r="F41" s="14" t="n">
        <f aca="false">COUNTIFS(Setup!$B$6:$B$600,$B41,Setup!$E$6:$E$600,"Blocked")</f>
        <v>0</v>
      </c>
      <c r="G41" s="14" t="n">
        <f aca="false">COUNTIFS(Setup!$B$6:$B$600,$B41,Setup!$E$6:$E$600,"Not started")</f>
        <v>8</v>
      </c>
      <c r="H41" s="14" t="n">
        <f aca="false">COUNTIFS(Setup!$B$6:$B$600,$B41,Setup!$E$6:$E$600,"Skipped")</f>
        <v>0</v>
      </c>
      <c r="I41" s="20" t="n">
        <f aca="false">IFERROR(D41/(C41-H41),0)</f>
        <v>0</v>
      </c>
    </row>
    <row r="42" customFormat="false" ht="15" hidden="false" customHeight="false" outlineLevel="0" collapsed="false">
      <c r="A42" s="19" t="s">
        <v>56</v>
      </c>
      <c r="B42" s="17" t="s">
        <v>60</v>
      </c>
      <c r="C42" s="14" t="n">
        <f aca="false">SUM(D42:H42)</f>
        <v>6</v>
      </c>
      <c r="D42" s="14" t="n">
        <f aca="false">COUNTIFS(Setup!$B$6:$B$600,$B42,Setup!$E$6:$E$600,"Done")</f>
        <v>0</v>
      </c>
      <c r="E42" s="14" t="n">
        <f aca="false">COUNTIFS(Setup!$B$6:$B$600,$B42,Setup!$E$6:$E$600,"In progress")</f>
        <v>0</v>
      </c>
      <c r="F42" s="14" t="n">
        <f aca="false">COUNTIFS(Setup!$B$6:$B$600,$B42,Setup!$E$6:$E$600,"Blocked")</f>
        <v>0</v>
      </c>
      <c r="G42" s="14" t="n">
        <f aca="false">COUNTIFS(Setup!$B$6:$B$600,$B42,Setup!$E$6:$E$600,"Not started")</f>
        <v>6</v>
      </c>
      <c r="H42" s="14" t="n">
        <f aca="false">COUNTIFS(Setup!$B$6:$B$600,$B42,Setup!$E$6:$E$600,"Skipped")</f>
        <v>0</v>
      </c>
      <c r="I42" s="20" t="n">
        <f aca="false">IFERROR(D42/(C42-H42),0)</f>
        <v>0</v>
      </c>
    </row>
    <row r="43" customFormat="false" ht="15" hidden="false" customHeight="false" outlineLevel="0" collapsed="false">
      <c r="A43" s="19" t="s">
        <v>56</v>
      </c>
      <c r="B43" s="17" t="s">
        <v>61</v>
      </c>
      <c r="C43" s="14" t="n">
        <f aca="false">SUM(D43:H43)</f>
        <v>12</v>
      </c>
      <c r="D43" s="14" t="n">
        <f aca="false">COUNTIFS(Setup!$B$6:$B$600,$B43,Setup!$E$6:$E$600,"Done")</f>
        <v>0</v>
      </c>
      <c r="E43" s="14" t="n">
        <f aca="false">COUNTIFS(Setup!$B$6:$B$600,$B43,Setup!$E$6:$E$600,"In progress")</f>
        <v>0</v>
      </c>
      <c r="F43" s="14" t="n">
        <f aca="false">COUNTIFS(Setup!$B$6:$B$600,$B43,Setup!$E$6:$E$600,"Blocked")</f>
        <v>0</v>
      </c>
      <c r="G43" s="14" t="n">
        <f aca="false">COUNTIFS(Setup!$B$6:$B$600,$B43,Setup!$E$6:$E$600,"Not started")</f>
        <v>12</v>
      </c>
      <c r="H43" s="14" t="n">
        <f aca="false">COUNTIFS(Setup!$B$6:$B$600,$B43,Setup!$E$6:$E$600,"Skipped")</f>
        <v>0</v>
      </c>
      <c r="I43" s="20" t="n">
        <f aca="false">IFERROR(D43/(C43-H43),0)</f>
        <v>0</v>
      </c>
    </row>
    <row r="44" customFormat="false" ht="15" hidden="false" customHeight="false" outlineLevel="0" collapsed="false">
      <c r="A44" s="19" t="s">
        <v>56</v>
      </c>
      <c r="B44" s="17" t="s">
        <v>62</v>
      </c>
      <c r="C44" s="14" t="n">
        <f aca="false">SUM(D44:H44)</f>
        <v>6</v>
      </c>
      <c r="D44" s="14" t="n">
        <f aca="false">COUNTIFS(Setup!$B$6:$B$600,$B44,Setup!$E$6:$E$600,"Done")</f>
        <v>0</v>
      </c>
      <c r="E44" s="14" t="n">
        <f aca="false">COUNTIFS(Setup!$B$6:$B$600,$B44,Setup!$E$6:$E$600,"In progress")</f>
        <v>0</v>
      </c>
      <c r="F44" s="14" t="n">
        <f aca="false">COUNTIFS(Setup!$B$6:$B$600,$B44,Setup!$E$6:$E$600,"Blocked")</f>
        <v>0</v>
      </c>
      <c r="G44" s="14" t="n">
        <f aca="false">COUNTIFS(Setup!$B$6:$B$600,$B44,Setup!$E$6:$E$600,"Not started")</f>
        <v>6</v>
      </c>
      <c r="H44" s="14" t="n">
        <f aca="false">COUNTIFS(Setup!$B$6:$B$600,$B44,Setup!$E$6:$E$600,"Skipped")</f>
        <v>0</v>
      </c>
      <c r="I44" s="20" t="n">
        <f aca="false">IFERROR(D44/(C44-H44),0)</f>
        <v>0</v>
      </c>
    </row>
    <row r="45" customFormat="false" ht="15" hidden="false" customHeight="false" outlineLevel="0" collapsed="false">
      <c r="A45" s="19" t="s">
        <v>63</v>
      </c>
      <c r="B45" s="17" t="s">
        <v>64</v>
      </c>
      <c r="C45" s="14" t="n">
        <f aca="false">SUM(D45:H45)</f>
        <v>19</v>
      </c>
      <c r="D45" s="14" t="n">
        <f aca="false">COUNTIFS(P1_ETL!$B$6:$B$600,$B45,P1_ETL!$E$6:$E$600,"Done")</f>
        <v>0</v>
      </c>
      <c r="E45" s="14" t="n">
        <f aca="false">COUNTIFS(P1_ETL!$B$6:$B$600,$B45,P1_ETL!$E$6:$E$600,"In progress")</f>
        <v>0</v>
      </c>
      <c r="F45" s="14" t="n">
        <f aca="false">COUNTIFS(P1_ETL!$B$6:$B$600,$B45,P1_ETL!$E$6:$E$600,"Blocked")</f>
        <v>0</v>
      </c>
      <c r="G45" s="14" t="n">
        <f aca="false">COUNTIFS(P1_ETL!$B$6:$B$600,$B45,P1_ETL!$E$6:$E$600,"Not started")</f>
        <v>19</v>
      </c>
      <c r="H45" s="14" t="n">
        <f aca="false">COUNTIFS(P1_ETL!$B$6:$B$600,$B45,P1_ETL!$E$6:$E$600,"Skipped")</f>
        <v>0</v>
      </c>
      <c r="I45" s="20" t="n">
        <f aca="false">IFERROR(D45/(C45-H45),0)</f>
        <v>0</v>
      </c>
    </row>
    <row r="46" customFormat="false" ht="15" hidden="false" customHeight="false" outlineLevel="0" collapsed="false">
      <c r="A46" s="19" t="s">
        <v>63</v>
      </c>
      <c r="B46" s="17" t="s">
        <v>65</v>
      </c>
      <c r="C46" s="14" t="n">
        <f aca="false">SUM(D46:H46)</f>
        <v>13</v>
      </c>
      <c r="D46" s="14" t="n">
        <f aca="false">COUNTIFS(P1_ETL!$B$6:$B$600,$B46,P1_ETL!$E$6:$E$600,"Done")</f>
        <v>0</v>
      </c>
      <c r="E46" s="14" t="n">
        <f aca="false">COUNTIFS(P1_ETL!$B$6:$B$600,$B46,P1_ETL!$E$6:$E$600,"In progress")</f>
        <v>0</v>
      </c>
      <c r="F46" s="14" t="n">
        <f aca="false">COUNTIFS(P1_ETL!$B$6:$B$600,$B46,P1_ETL!$E$6:$E$600,"Blocked")</f>
        <v>0</v>
      </c>
      <c r="G46" s="14" t="n">
        <f aca="false">COUNTIFS(P1_ETL!$B$6:$B$600,$B46,P1_ETL!$E$6:$E$600,"Not started")</f>
        <v>13</v>
      </c>
      <c r="H46" s="14" t="n">
        <f aca="false">COUNTIFS(P1_ETL!$B$6:$B$600,$B46,P1_ETL!$E$6:$E$600,"Skipped")</f>
        <v>0</v>
      </c>
      <c r="I46" s="20" t="n">
        <f aca="false">IFERROR(D46/(C46-H46),0)</f>
        <v>0</v>
      </c>
    </row>
    <row r="47" customFormat="false" ht="15" hidden="false" customHeight="false" outlineLevel="0" collapsed="false">
      <c r="A47" s="19" t="s">
        <v>63</v>
      </c>
      <c r="B47" s="17" t="s">
        <v>66</v>
      </c>
      <c r="C47" s="14" t="n">
        <f aca="false">SUM(D47:H47)</f>
        <v>11</v>
      </c>
      <c r="D47" s="14" t="n">
        <f aca="false">COUNTIFS(P1_ETL!$B$6:$B$600,$B47,P1_ETL!$E$6:$E$600,"Done")</f>
        <v>0</v>
      </c>
      <c r="E47" s="14" t="n">
        <f aca="false">COUNTIFS(P1_ETL!$B$6:$B$600,$B47,P1_ETL!$E$6:$E$600,"In progress")</f>
        <v>0</v>
      </c>
      <c r="F47" s="14" t="n">
        <f aca="false">COUNTIFS(P1_ETL!$B$6:$B$600,$B47,P1_ETL!$E$6:$E$600,"Blocked")</f>
        <v>0</v>
      </c>
      <c r="G47" s="14" t="n">
        <f aca="false">COUNTIFS(P1_ETL!$B$6:$B$600,$B47,P1_ETL!$E$6:$E$600,"Not started")</f>
        <v>11</v>
      </c>
      <c r="H47" s="14" t="n">
        <f aca="false">COUNTIFS(P1_ETL!$B$6:$B$600,$B47,P1_ETL!$E$6:$E$600,"Skipped")</f>
        <v>0</v>
      </c>
      <c r="I47" s="20" t="n">
        <f aca="false">IFERROR(D47/(C47-H47),0)</f>
        <v>0</v>
      </c>
    </row>
    <row r="48" customFormat="false" ht="15" hidden="false" customHeight="false" outlineLevel="0" collapsed="false">
      <c r="A48" s="19" t="s">
        <v>63</v>
      </c>
      <c r="B48" s="17" t="s">
        <v>67</v>
      </c>
      <c r="C48" s="14" t="n">
        <f aca="false">SUM(D48:H48)</f>
        <v>12</v>
      </c>
      <c r="D48" s="14" t="n">
        <f aca="false">COUNTIFS(P1_ETL!$B$6:$B$600,$B48,P1_ETL!$E$6:$E$600,"Done")</f>
        <v>0</v>
      </c>
      <c r="E48" s="14" t="n">
        <f aca="false">COUNTIFS(P1_ETL!$B$6:$B$600,$B48,P1_ETL!$E$6:$E$600,"In progress")</f>
        <v>0</v>
      </c>
      <c r="F48" s="14" t="n">
        <f aca="false">COUNTIFS(P1_ETL!$B$6:$B$600,$B48,P1_ETL!$E$6:$E$600,"Blocked")</f>
        <v>0</v>
      </c>
      <c r="G48" s="14" t="n">
        <f aca="false">COUNTIFS(P1_ETL!$B$6:$B$600,$B48,P1_ETL!$E$6:$E$600,"Not started")</f>
        <v>12</v>
      </c>
      <c r="H48" s="14" t="n">
        <f aca="false">COUNTIFS(P1_ETL!$B$6:$B$600,$B48,P1_ETL!$E$6:$E$600,"Skipped")</f>
        <v>0</v>
      </c>
      <c r="I48" s="20" t="n">
        <f aca="false">IFERROR(D48/(C48-H48),0)</f>
        <v>0</v>
      </c>
    </row>
    <row r="49" customFormat="false" ht="15" hidden="false" customHeight="false" outlineLevel="0" collapsed="false">
      <c r="A49" s="19" t="s">
        <v>63</v>
      </c>
      <c r="B49" s="17" t="s">
        <v>68</v>
      </c>
      <c r="C49" s="14" t="n">
        <f aca="false">SUM(D49:H49)</f>
        <v>18</v>
      </c>
      <c r="D49" s="14" t="n">
        <f aca="false">COUNTIFS(P1_ETL!$B$6:$B$600,$B49,P1_ETL!$E$6:$E$600,"Done")</f>
        <v>0</v>
      </c>
      <c r="E49" s="14" t="n">
        <f aca="false">COUNTIFS(P1_ETL!$B$6:$B$600,$B49,P1_ETL!$E$6:$E$600,"In progress")</f>
        <v>0</v>
      </c>
      <c r="F49" s="14" t="n">
        <f aca="false">COUNTIFS(P1_ETL!$B$6:$B$600,$B49,P1_ETL!$E$6:$E$600,"Blocked")</f>
        <v>0</v>
      </c>
      <c r="G49" s="14" t="n">
        <f aca="false">COUNTIFS(P1_ETL!$B$6:$B$600,$B49,P1_ETL!$E$6:$E$600,"Not started")</f>
        <v>18</v>
      </c>
      <c r="H49" s="14" t="n">
        <f aca="false">COUNTIFS(P1_ETL!$B$6:$B$600,$B49,P1_ETL!$E$6:$E$600,"Skipped")</f>
        <v>0</v>
      </c>
      <c r="I49" s="20" t="n">
        <f aca="false">IFERROR(D49/(C49-H49),0)</f>
        <v>0</v>
      </c>
    </row>
    <row r="50" customFormat="false" ht="15" hidden="false" customHeight="false" outlineLevel="0" collapsed="false">
      <c r="A50" s="19" t="s">
        <v>63</v>
      </c>
      <c r="B50" s="17" t="s">
        <v>69</v>
      </c>
      <c r="C50" s="14" t="n">
        <f aca="false">SUM(D50:H50)</f>
        <v>13</v>
      </c>
      <c r="D50" s="14" t="n">
        <f aca="false">COUNTIFS(P1_ETL!$B$6:$B$600,$B50,P1_ETL!$E$6:$E$600,"Done")</f>
        <v>0</v>
      </c>
      <c r="E50" s="14" t="n">
        <f aca="false">COUNTIFS(P1_ETL!$B$6:$B$600,$B50,P1_ETL!$E$6:$E$600,"In progress")</f>
        <v>0</v>
      </c>
      <c r="F50" s="14" t="n">
        <f aca="false">COUNTIFS(P1_ETL!$B$6:$B$600,$B50,P1_ETL!$E$6:$E$600,"Blocked")</f>
        <v>0</v>
      </c>
      <c r="G50" s="14" t="n">
        <f aca="false">COUNTIFS(P1_ETL!$B$6:$B$600,$B50,P1_ETL!$E$6:$E$600,"Not started")</f>
        <v>13</v>
      </c>
      <c r="H50" s="14" t="n">
        <f aca="false">COUNTIFS(P1_ETL!$B$6:$B$600,$B50,P1_ETL!$E$6:$E$600,"Skipped")</f>
        <v>0</v>
      </c>
      <c r="I50" s="20" t="n">
        <f aca="false">IFERROR(D50/(C50-H50),0)</f>
        <v>0</v>
      </c>
    </row>
    <row r="51" customFormat="false" ht="15" hidden="false" customHeight="false" outlineLevel="0" collapsed="false">
      <c r="A51" s="19" t="s">
        <v>63</v>
      </c>
      <c r="B51" s="17" t="s">
        <v>70</v>
      </c>
      <c r="C51" s="14" t="n">
        <f aca="false">SUM(D51:H51)</f>
        <v>7</v>
      </c>
      <c r="D51" s="14" t="n">
        <f aca="false">COUNTIFS(P1_ETL!$B$6:$B$600,$B51,P1_ETL!$E$6:$E$600,"Done")</f>
        <v>0</v>
      </c>
      <c r="E51" s="14" t="n">
        <f aca="false">COUNTIFS(P1_ETL!$B$6:$B$600,$B51,P1_ETL!$E$6:$E$600,"In progress")</f>
        <v>0</v>
      </c>
      <c r="F51" s="14" t="n">
        <f aca="false">COUNTIFS(P1_ETL!$B$6:$B$600,$B51,P1_ETL!$E$6:$E$600,"Blocked")</f>
        <v>0</v>
      </c>
      <c r="G51" s="14" t="n">
        <f aca="false">COUNTIFS(P1_ETL!$B$6:$B$600,$B51,P1_ETL!$E$6:$E$600,"Not started")</f>
        <v>7</v>
      </c>
      <c r="H51" s="14" t="n">
        <f aca="false">COUNTIFS(P1_ETL!$B$6:$B$600,$B51,P1_ETL!$E$6:$E$600,"Skipped")</f>
        <v>0</v>
      </c>
      <c r="I51" s="20" t="n">
        <f aca="false">IFERROR(D51/(C51-H51),0)</f>
        <v>0</v>
      </c>
    </row>
    <row r="52" customFormat="false" ht="15" hidden="false" customHeight="false" outlineLevel="0" collapsed="false">
      <c r="A52" s="19" t="s">
        <v>63</v>
      </c>
      <c r="B52" s="17" t="s">
        <v>71</v>
      </c>
      <c r="C52" s="14" t="n">
        <f aca="false">SUM(D52:H52)</f>
        <v>10</v>
      </c>
      <c r="D52" s="14" t="n">
        <f aca="false">COUNTIFS(P1_ETL!$B$6:$B$600,$B52,P1_ETL!$E$6:$E$600,"Done")</f>
        <v>0</v>
      </c>
      <c r="E52" s="14" t="n">
        <f aca="false">COUNTIFS(P1_ETL!$B$6:$B$600,$B52,P1_ETL!$E$6:$E$600,"In progress")</f>
        <v>0</v>
      </c>
      <c r="F52" s="14" t="n">
        <f aca="false">COUNTIFS(P1_ETL!$B$6:$B$600,$B52,P1_ETL!$E$6:$E$600,"Blocked")</f>
        <v>0</v>
      </c>
      <c r="G52" s="14" t="n">
        <f aca="false">COUNTIFS(P1_ETL!$B$6:$B$600,$B52,P1_ETL!$E$6:$E$600,"Not started")</f>
        <v>10</v>
      </c>
      <c r="H52" s="14" t="n">
        <f aca="false">COUNTIFS(P1_ETL!$B$6:$B$600,$B52,P1_ETL!$E$6:$E$600,"Skipped")</f>
        <v>0</v>
      </c>
      <c r="I52" s="20" t="n">
        <f aca="false">IFERROR(D52/(C52-H52),0)</f>
        <v>0</v>
      </c>
    </row>
    <row r="53" customFormat="false" ht="15" hidden="false" customHeight="false" outlineLevel="0" collapsed="false">
      <c r="A53" s="19" t="s">
        <v>63</v>
      </c>
      <c r="B53" s="17" t="s">
        <v>72</v>
      </c>
      <c r="C53" s="14" t="n">
        <f aca="false">SUM(D53:H53)</f>
        <v>10</v>
      </c>
      <c r="D53" s="14" t="n">
        <f aca="false">COUNTIFS(P1_ETL!$B$6:$B$600,$B53,P1_ETL!$E$6:$E$600,"Done")</f>
        <v>0</v>
      </c>
      <c r="E53" s="14" t="n">
        <f aca="false">COUNTIFS(P1_ETL!$B$6:$B$600,$B53,P1_ETL!$E$6:$E$600,"In progress")</f>
        <v>0</v>
      </c>
      <c r="F53" s="14" t="n">
        <f aca="false">COUNTIFS(P1_ETL!$B$6:$B$600,$B53,P1_ETL!$E$6:$E$600,"Blocked")</f>
        <v>0</v>
      </c>
      <c r="G53" s="14" t="n">
        <f aca="false">COUNTIFS(P1_ETL!$B$6:$B$600,$B53,P1_ETL!$E$6:$E$600,"Not started")</f>
        <v>10</v>
      </c>
      <c r="H53" s="14" t="n">
        <f aca="false">COUNTIFS(P1_ETL!$B$6:$B$600,$B53,P1_ETL!$E$6:$E$600,"Skipped")</f>
        <v>0</v>
      </c>
      <c r="I53" s="20" t="n">
        <f aca="false">IFERROR(D53/(C53-H53),0)</f>
        <v>0</v>
      </c>
    </row>
    <row r="54" customFormat="false" ht="15" hidden="false" customHeight="false" outlineLevel="0" collapsed="false">
      <c r="A54" s="19" t="s">
        <v>73</v>
      </c>
      <c r="B54" s="17" t="s">
        <v>74</v>
      </c>
      <c r="C54" s="14" t="n">
        <f aca="false">SUM(D54:H54)</f>
        <v>6</v>
      </c>
      <c r="D54" s="14" t="n">
        <f aca="false">COUNTIFS(P2_Joins!$B$6:$B$600,$B54,P2_Joins!$E$6:$E$600,"Done")</f>
        <v>0</v>
      </c>
      <c r="E54" s="14" t="n">
        <f aca="false">COUNTIFS(P2_Joins!$B$6:$B$600,$B54,P2_Joins!$E$6:$E$600,"In progress")</f>
        <v>0</v>
      </c>
      <c r="F54" s="14" t="n">
        <f aca="false">COUNTIFS(P2_Joins!$B$6:$B$600,$B54,P2_Joins!$E$6:$E$600,"Blocked")</f>
        <v>0</v>
      </c>
      <c r="G54" s="14" t="n">
        <f aca="false">COUNTIFS(P2_Joins!$B$6:$B$600,$B54,P2_Joins!$E$6:$E$600,"Not started")</f>
        <v>6</v>
      </c>
      <c r="H54" s="14" t="n">
        <f aca="false">COUNTIFS(P2_Joins!$B$6:$B$600,$B54,P2_Joins!$E$6:$E$600,"Skipped")</f>
        <v>0</v>
      </c>
      <c r="I54" s="20" t="n">
        <f aca="false">IFERROR(D54/(C54-H54),0)</f>
        <v>0</v>
      </c>
    </row>
    <row r="55" customFormat="false" ht="15" hidden="false" customHeight="false" outlineLevel="0" collapsed="false">
      <c r="A55" s="19" t="s">
        <v>73</v>
      </c>
      <c r="B55" s="17" t="s">
        <v>75</v>
      </c>
      <c r="C55" s="14" t="n">
        <f aca="false">SUM(D55:H55)</f>
        <v>6</v>
      </c>
      <c r="D55" s="14" t="n">
        <f aca="false">COUNTIFS(P2_Joins!$B$6:$B$600,$B55,P2_Joins!$E$6:$E$600,"Done")</f>
        <v>0</v>
      </c>
      <c r="E55" s="14" t="n">
        <f aca="false">COUNTIFS(P2_Joins!$B$6:$B$600,$B55,P2_Joins!$E$6:$E$600,"In progress")</f>
        <v>0</v>
      </c>
      <c r="F55" s="14" t="n">
        <f aca="false">COUNTIFS(P2_Joins!$B$6:$B$600,$B55,P2_Joins!$E$6:$E$600,"Blocked")</f>
        <v>0</v>
      </c>
      <c r="G55" s="14" t="n">
        <f aca="false">COUNTIFS(P2_Joins!$B$6:$B$600,$B55,P2_Joins!$E$6:$E$600,"Not started")</f>
        <v>6</v>
      </c>
      <c r="H55" s="14" t="n">
        <f aca="false">COUNTIFS(P2_Joins!$B$6:$B$600,$B55,P2_Joins!$E$6:$E$600,"Skipped")</f>
        <v>0</v>
      </c>
      <c r="I55" s="20" t="n">
        <f aca="false">IFERROR(D55/(C55-H55),0)</f>
        <v>0</v>
      </c>
    </row>
    <row r="56" customFormat="false" ht="15" hidden="false" customHeight="false" outlineLevel="0" collapsed="false">
      <c r="A56" s="19" t="s">
        <v>73</v>
      </c>
      <c r="B56" s="17" t="s">
        <v>76</v>
      </c>
      <c r="C56" s="14" t="n">
        <f aca="false">SUM(D56:H56)</f>
        <v>8</v>
      </c>
      <c r="D56" s="14" t="n">
        <f aca="false">COUNTIFS(P2_Joins!$B$6:$B$600,$B56,P2_Joins!$E$6:$E$600,"Done")</f>
        <v>0</v>
      </c>
      <c r="E56" s="14" t="n">
        <f aca="false">COUNTIFS(P2_Joins!$B$6:$B$600,$B56,P2_Joins!$E$6:$E$600,"In progress")</f>
        <v>0</v>
      </c>
      <c r="F56" s="14" t="n">
        <f aca="false">COUNTIFS(P2_Joins!$B$6:$B$600,$B56,P2_Joins!$E$6:$E$600,"Blocked")</f>
        <v>0</v>
      </c>
      <c r="G56" s="14" t="n">
        <f aca="false">COUNTIFS(P2_Joins!$B$6:$B$600,$B56,P2_Joins!$E$6:$E$600,"Not started")</f>
        <v>8</v>
      </c>
      <c r="H56" s="14" t="n">
        <f aca="false">COUNTIFS(P2_Joins!$B$6:$B$600,$B56,P2_Joins!$E$6:$E$600,"Skipped")</f>
        <v>0</v>
      </c>
      <c r="I56" s="20" t="n">
        <f aca="false">IFERROR(D56/(C56-H56),0)</f>
        <v>0</v>
      </c>
    </row>
    <row r="57" customFormat="false" ht="15" hidden="false" customHeight="false" outlineLevel="0" collapsed="false">
      <c r="A57" s="19" t="s">
        <v>73</v>
      </c>
      <c r="B57" s="17" t="s">
        <v>77</v>
      </c>
      <c r="C57" s="14" t="n">
        <f aca="false">SUM(D57:H57)</f>
        <v>8</v>
      </c>
      <c r="D57" s="14" t="n">
        <f aca="false">COUNTIFS(P2_Joins!$B$6:$B$600,$B57,P2_Joins!$E$6:$E$600,"Done")</f>
        <v>0</v>
      </c>
      <c r="E57" s="14" t="n">
        <f aca="false">COUNTIFS(P2_Joins!$B$6:$B$600,$B57,P2_Joins!$E$6:$E$600,"In progress")</f>
        <v>0</v>
      </c>
      <c r="F57" s="14" t="n">
        <f aca="false">COUNTIFS(P2_Joins!$B$6:$B$600,$B57,P2_Joins!$E$6:$E$600,"Blocked")</f>
        <v>0</v>
      </c>
      <c r="G57" s="14" t="n">
        <f aca="false">COUNTIFS(P2_Joins!$B$6:$B$600,$B57,P2_Joins!$E$6:$E$600,"Not started")</f>
        <v>8</v>
      </c>
      <c r="H57" s="14" t="n">
        <f aca="false">COUNTIFS(P2_Joins!$B$6:$B$600,$B57,P2_Joins!$E$6:$E$600,"Skipped")</f>
        <v>0</v>
      </c>
      <c r="I57" s="20" t="n">
        <f aca="false">IFERROR(D57/(C57-H57),0)</f>
        <v>0</v>
      </c>
    </row>
    <row r="58" customFormat="false" ht="15" hidden="false" customHeight="false" outlineLevel="0" collapsed="false">
      <c r="A58" s="19" t="s">
        <v>73</v>
      </c>
      <c r="B58" s="17" t="s">
        <v>78</v>
      </c>
      <c r="C58" s="14" t="n">
        <f aca="false">SUM(D58:H58)</f>
        <v>5</v>
      </c>
      <c r="D58" s="14" t="n">
        <f aca="false">COUNTIFS(P2_Joins!$B$6:$B$600,$B58,P2_Joins!$E$6:$E$600,"Done")</f>
        <v>0</v>
      </c>
      <c r="E58" s="14" t="n">
        <f aca="false">COUNTIFS(P2_Joins!$B$6:$B$600,$B58,P2_Joins!$E$6:$E$600,"In progress")</f>
        <v>0</v>
      </c>
      <c r="F58" s="14" t="n">
        <f aca="false">COUNTIFS(P2_Joins!$B$6:$B$600,$B58,P2_Joins!$E$6:$E$600,"Blocked")</f>
        <v>0</v>
      </c>
      <c r="G58" s="14" t="n">
        <f aca="false">COUNTIFS(P2_Joins!$B$6:$B$600,$B58,P2_Joins!$E$6:$E$600,"Not started")</f>
        <v>5</v>
      </c>
      <c r="H58" s="14" t="n">
        <f aca="false">COUNTIFS(P2_Joins!$B$6:$B$600,$B58,P2_Joins!$E$6:$E$600,"Skipped")</f>
        <v>0</v>
      </c>
      <c r="I58" s="20" t="n">
        <f aca="false">IFERROR(D58/(C58-H58),0)</f>
        <v>0</v>
      </c>
    </row>
    <row r="59" customFormat="false" ht="15" hidden="false" customHeight="false" outlineLevel="0" collapsed="false">
      <c r="A59" s="19" t="s">
        <v>73</v>
      </c>
      <c r="B59" s="17" t="s">
        <v>79</v>
      </c>
      <c r="C59" s="14" t="n">
        <f aca="false">SUM(D59:H59)</f>
        <v>8</v>
      </c>
      <c r="D59" s="14" t="n">
        <f aca="false">COUNTIFS(P2_Joins!$B$6:$B$600,$B59,P2_Joins!$E$6:$E$600,"Done")</f>
        <v>0</v>
      </c>
      <c r="E59" s="14" t="n">
        <f aca="false">COUNTIFS(P2_Joins!$B$6:$B$600,$B59,P2_Joins!$E$6:$E$600,"In progress")</f>
        <v>0</v>
      </c>
      <c r="F59" s="14" t="n">
        <f aca="false">COUNTIFS(P2_Joins!$B$6:$B$600,$B59,P2_Joins!$E$6:$E$600,"Blocked")</f>
        <v>0</v>
      </c>
      <c r="G59" s="14" t="n">
        <f aca="false">COUNTIFS(P2_Joins!$B$6:$B$600,$B59,P2_Joins!$E$6:$E$600,"Not started")</f>
        <v>8</v>
      </c>
      <c r="H59" s="14" t="n">
        <f aca="false">COUNTIFS(P2_Joins!$B$6:$B$600,$B59,P2_Joins!$E$6:$E$600,"Skipped")</f>
        <v>0</v>
      </c>
      <c r="I59" s="20" t="n">
        <f aca="false">IFERROR(D59/(C59-H59),0)</f>
        <v>0</v>
      </c>
    </row>
    <row r="60" customFormat="false" ht="15" hidden="false" customHeight="false" outlineLevel="0" collapsed="false">
      <c r="A60" s="19" t="s">
        <v>73</v>
      </c>
      <c r="B60" s="17" t="s">
        <v>80</v>
      </c>
      <c r="C60" s="14" t="n">
        <f aca="false">SUM(D60:H60)</f>
        <v>10</v>
      </c>
      <c r="D60" s="14" t="n">
        <f aca="false">COUNTIFS(P2_Joins!$B$6:$B$600,$B60,P2_Joins!$E$6:$E$600,"Done")</f>
        <v>0</v>
      </c>
      <c r="E60" s="14" t="n">
        <f aca="false">COUNTIFS(P2_Joins!$B$6:$B$600,$B60,P2_Joins!$E$6:$E$600,"In progress")</f>
        <v>0</v>
      </c>
      <c r="F60" s="14" t="n">
        <f aca="false">COUNTIFS(P2_Joins!$B$6:$B$600,$B60,P2_Joins!$E$6:$E$600,"Blocked")</f>
        <v>0</v>
      </c>
      <c r="G60" s="14" t="n">
        <f aca="false">COUNTIFS(P2_Joins!$B$6:$B$600,$B60,P2_Joins!$E$6:$E$600,"Not started")</f>
        <v>10</v>
      </c>
      <c r="H60" s="14" t="n">
        <f aca="false">COUNTIFS(P2_Joins!$B$6:$B$600,$B60,P2_Joins!$E$6:$E$600,"Skipped")</f>
        <v>0</v>
      </c>
      <c r="I60" s="20" t="n">
        <f aca="false">IFERROR(D60/(C60-H60),0)</f>
        <v>0</v>
      </c>
    </row>
    <row r="61" customFormat="false" ht="15" hidden="false" customHeight="false" outlineLevel="0" collapsed="false">
      <c r="A61" s="19" t="s">
        <v>73</v>
      </c>
      <c r="B61" s="17" t="s">
        <v>81</v>
      </c>
      <c r="C61" s="14" t="n">
        <f aca="false">SUM(D61:H61)</f>
        <v>8</v>
      </c>
      <c r="D61" s="14" t="n">
        <f aca="false">COUNTIFS(P2_Joins!$B$6:$B$600,$B61,P2_Joins!$E$6:$E$600,"Done")</f>
        <v>0</v>
      </c>
      <c r="E61" s="14" t="n">
        <f aca="false">COUNTIFS(P2_Joins!$B$6:$B$600,$B61,P2_Joins!$E$6:$E$600,"In progress")</f>
        <v>0</v>
      </c>
      <c r="F61" s="14" t="n">
        <f aca="false">COUNTIFS(P2_Joins!$B$6:$B$600,$B61,P2_Joins!$E$6:$E$600,"Blocked")</f>
        <v>0</v>
      </c>
      <c r="G61" s="14" t="n">
        <f aca="false">COUNTIFS(P2_Joins!$B$6:$B$600,$B61,P2_Joins!$E$6:$E$600,"Not started")</f>
        <v>8</v>
      </c>
      <c r="H61" s="14" t="n">
        <f aca="false">COUNTIFS(P2_Joins!$B$6:$B$600,$B61,P2_Joins!$E$6:$E$600,"Skipped")</f>
        <v>0</v>
      </c>
      <c r="I61" s="20" t="n">
        <f aca="false">IFERROR(D61/(C61-H61),0)</f>
        <v>0</v>
      </c>
    </row>
    <row r="62" customFormat="false" ht="15" hidden="false" customHeight="false" outlineLevel="0" collapsed="false">
      <c r="A62" s="19" t="s">
        <v>73</v>
      </c>
      <c r="B62" s="17" t="s">
        <v>82</v>
      </c>
      <c r="C62" s="14" t="n">
        <f aca="false">SUM(D62:H62)</f>
        <v>5</v>
      </c>
      <c r="D62" s="14" t="n">
        <f aca="false">COUNTIFS(P2_Joins!$B$6:$B$600,$B62,P2_Joins!$E$6:$E$600,"Done")</f>
        <v>0</v>
      </c>
      <c r="E62" s="14" t="n">
        <f aca="false">COUNTIFS(P2_Joins!$B$6:$B$600,$B62,P2_Joins!$E$6:$E$600,"In progress")</f>
        <v>0</v>
      </c>
      <c r="F62" s="14" t="n">
        <f aca="false">COUNTIFS(P2_Joins!$B$6:$B$600,$B62,P2_Joins!$E$6:$E$600,"Blocked")</f>
        <v>0</v>
      </c>
      <c r="G62" s="14" t="n">
        <f aca="false">COUNTIFS(P2_Joins!$B$6:$B$600,$B62,P2_Joins!$E$6:$E$600,"Not started")</f>
        <v>5</v>
      </c>
      <c r="H62" s="14" t="n">
        <f aca="false">COUNTIFS(P2_Joins!$B$6:$B$600,$B62,P2_Joins!$E$6:$E$600,"Skipped")</f>
        <v>0</v>
      </c>
      <c r="I62" s="20" t="n">
        <f aca="false">IFERROR(D62/(C62-H62),0)</f>
        <v>0</v>
      </c>
    </row>
    <row r="63" customFormat="false" ht="15" hidden="false" customHeight="false" outlineLevel="0" collapsed="false">
      <c r="A63" s="19" t="s">
        <v>73</v>
      </c>
      <c r="B63" s="17" t="s">
        <v>83</v>
      </c>
      <c r="C63" s="14" t="n">
        <f aca="false">SUM(D63:H63)</f>
        <v>10</v>
      </c>
      <c r="D63" s="14" t="n">
        <f aca="false">COUNTIFS(P2_Joins!$B$6:$B$600,$B63,P2_Joins!$E$6:$E$600,"Done")</f>
        <v>0</v>
      </c>
      <c r="E63" s="14" t="n">
        <f aca="false">COUNTIFS(P2_Joins!$B$6:$B$600,$B63,P2_Joins!$E$6:$E$600,"In progress")</f>
        <v>0</v>
      </c>
      <c r="F63" s="14" t="n">
        <f aca="false">COUNTIFS(P2_Joins!$B$6:$B$600,$B63,P2_Joins!$E$6:$E$600,"Blocked")</f>
        <v>0</v>
      </c>
      <c r="G63" s="14" t="n">
        <f aca="false">COUNTIFS(P2_Joins!$B$6:$B$600,$B63,P2_Joins!$E$6:$E$600,"Not started")</f>
        <v>10</v>
      </c>
      <c r="H63" s="14" t="n">
        <f aca="false">COUNTIFS(P2_Joins!$B$6:$B$600,$B63,P2_Joins!$E$6:$E$600,"Skipped")</f>
        <v>0</v>
      </c>
      <c r="I63" s="20" t="n">
        <f aca="false">IFERROR(D63/(C63-H63),0)</f>
        <v>0</v>
      </c>
    </row>
    <row r="64" customFormat="false" ht="15" hidden="false" customHeight="false" outlineLevel="0" collapsed="false">
      <c r="A64" s="19" t="s">
        <v>73</v>
      </c>
      <c r="B64" s="17" t="s">
        <v>84</v>
      </c>
      <c r="C64" s="14" t="n">
        <f aca="false">SUM(D64:H64)</f>
        <v>8</v>
      </c>
      <c r="D64" s="14" t="n">
        <f aca="false">COUNTIFS(P2_Joins!$B$6:$B$600,$B64,P2_Joins!$E$6:$E$600,"Done")</f>
        <v>0</v>
      </c>
      <c r="E64" s="14" t="n">
        <f aca="false">COUNTIFS(P2_Joins!$B$6:$B$600,$B64,P2_Joins!$E$6:$E$600,"In progress")</f>
        <v>0</v>
      </c>
      <c r="F64" s="14" t="n">
        <f aca="false">COUNTIFS(P2_Joins!$B$6:$B$600,$B64,P2_Joins!$E$6:$E$600,"Blocked")</f>
        <v>0</v>
      </c>
      <c r="G64" s="14" t="n">
        <f aca="false">COUNTIFS(P2_Joins!$B$6:$B$600,$B64,P2_Joins!$E$6:$E$600,"Not started")</f>
        <v>8</v>
      </c>
      <c r="H64" s="14" t="n">
        <f aca="false">COUNTIFS(P2_Joins!$B$6:$B$600,$B64,P2_Joins!$E$6:$E$600,"Skipped")</f>
        <v>0</v>
      </c>
      <c r="I64" s="20" t="n">
        <f aca="false">IFERROR(D64/(C64-H64),0)</f>
        <v>0</v>
      </c>
    </row>
    <row r="65" customFormat="false" ht="15" hidden="false" customHeight="false" outlineLevel="0" collapsed="false">
      <c r="A65" s="19" t="s">
        <v>73</v>
      </c>
      <c r="B65" s="17" t="s">
        <v>85</v>
      </c>
      <c r="C65" s="14" t="n">
        <f aca="false">SUM(D65:H65)</f>
        <v>7</v>
      </c>
      <c r="D65" s="14" t="n">
        <f aca="false">COUNTIFS(P2_Joins!$B$6:$B$600,$B65,P2_Joins!$E$6:$E$600,"Done")</f>
        <v>0</v>
      </c>
      <c r="E65" s="14" t="n">
        <f aca="false">COUNTIFS(P2_Joins!$B$6:$B$600,$B65,P2_Joins!$E$6:$E$600,"In progress")</f>
        <v>0</v>
      </c>
      <c r="F65" s="14" t="n">
        <f aca="false">COUNTIFS(P2_Joins!$B$6:$B$600,$B65,P2_Joins!$E$6:$E$600,"Blocked")</f>
        <v>0</v>
      </c>
      <c r="G65" s="14" t="n">
        <f aca="false">COUNTIFS(P2_Joins!$B$6:$B$600,$B65,P2_Joins!$E$6:$E$600,"Not started")</f>
        <v>7</v>
      </c>
      <c r="H65" s="14" t="n">
        <f aca="false">COUNTIFS(P2_Joins!$B$6:$B$600,$B65,P2_Joins!$E$6:$E$600,"Skipped")</f>
        <v>0</v>
      </c>
      <c r="I65" s="20" t="n">
        <f aca="false">IFERROR(D65/(C65-H65),0)</f>
        <v>0</v>
      </c>
    </row>
    <row r="66" customFormat="false" ht="15" hidden="false" customHeight="false" outlineLevel="0" collapsed="false">
      <c r="A66" s="19" t="s">
        <v>73</v>
      </c>
      <c r="B66" s="17" t="s">
        <v>86</v>
      </c>
      <c r="C66" s="14" t="n">
        <f aca="false">SUM(D66:H66)</f>
        <v>2</v>
      </c>
      <c r="D66" s="14" t="n">
        <f aca="false">COUNTIFS(P2_Joins!$B$6:$B$600,$B66,P2_Joins!$E$6:$E$600,"Done")</f>
        <v>0</v>
      </c>
      <c r="E66" s="14" t="n">
        <f aca="false">COUNTIFS(P2_Joins!$B$6:$B$600,$B66,P2_Joins!$E$6:$E$600,"In progress")</f>
        <v>0</v>
      </c>
      <c r="F66" s="14" t="n">
        <f aca="false">COUNTIFS(P2_Joins!$B$6:$B$600,$B66,P2_Joins!$E$6:$E$600,"Blocked")</f>
        <v>0</v>
      </c>
      <c r="G66" s="14" t="n">
        <f aca="false">COUNTIFS(P2_Joins!$B$6:$B$600,$B66,P2_Joins!$E$6:$E$600,"Not started")</f>
        <v>2</v>
      </c>
      <c r="H66" s="14" t="n">
        <f aca="false">COUNTIFS(P2_Joins!$B$6:$B$600,$B66,P2_Joins!$E$6:$E$600,"Skipped")</f>
        <v>0</v>
      </c>
      <c r="I66" s="20" t="n">
        <f aca="false">IFERROR(D66/(C66-H66),0)</f>
        <v>0</v>
      </c>
    </row>
    <row r="67" customFormat="false" ht="15" hidden="false" customHeight="false" outlineLevel="0" collapsed="false">
      <c r="A67" s="19" t="s">
        <v>87</v>
      </c>
      <c r="B67" s="17" t="s">
        <v>88</v>
      </c>
      <c r="C67" s="14" t="n">
        <f aca="false">SUM(D67:H67)</f>
        <v>5</v>
      </c>
      <c r="D67" s="14" t="n">
        <f aca="false">COUNTIFS(P3_Planner!$B$6:$B$600,$B67,P3_Planner!$E$6:$E$600,"Done")</f>
        <v>0</v>
      </c>
      <c r="E67" s="14" t="n">
        <f aca="false">COUNTIFS(P3_Planner!$B$6:$B$600,$B67,P3_Planner!$E$6:$E$600,"In progress")</f>
        <v>0</v>
      </c>
      <c r="F67" s="14" t="n">
        <f aca="false">COUNTIFS(P3_Planner!$B$6:$B$600,$B67,P3_Planner!$E$6:$E$600,"Blocked")</f>
        <v>0</v>
      </c>
      <c r="G67" s="14" t="n">
        <f aca="false">COUNTIFS(P3_Planner!$B$6:$B$600,$B67,P3_Planner!$E$6:$E$600,"Not started")</f>
        <v>5</v>
      </c>
      <c r="H67" s="14" t="n">
        <f aca="false">COUNTIFS(P3_Planner!$B$6:$B$600,$B67,P3_Planner!$E$6:$E$600,"Skipped")</f>
        <v>0</v>
      </c>
      <c r="I67" s="20" t="n">
        <f aca="false">IFERROR(D67/(C67-H67),0)</f>
        <v>0</v>
      </c>
    </row>
    <row r="68" customFormat="false" ht="15" hidden="false" customHeight="false" outlineLevel="0" collapsed="false">
      <c r="A68" s="19" t="s">
        <v>87</v>
      </c>
      <c r="B68" s="17" t="s">
        <v>89</v>
      </c>
      <c r="C68" s="14" t="n">
        <f aca="false">SUM(D68:H68)</f>
        <v>8</v>
      </c>
      <c r="D68" s="14" t="n">
        <f aca="false">COUNTIFS(P3_Planner!$B$6:$B$600,$B68,P3_Planner!$E$6:$E$600,"Done")</f>
        <v>0</v>
      </c>
      <c r="E68" s="14" t="n">
        <f aca="false">COUNTIFS(P3_Planner!$B$6:$B$600,$B68,P3_Planner!$E$6:$E$600,"In progress")</f>
        <v>0</v>
      </c>
      <c r="F68" s="14" t="n">
        <f aca="false">COUNTIFS(P3_Planner!$B$6:$B$600,$B68,P3_Planner!$E$6:$E$600,"Blocked")</f>
        <v>0</v>
      </c>
      <c r="G68" s="14" t="n">
        <f aca="false">COUNTIFS(P3_Planner!$B$6:$B$600,$B68,P3_Planner!$E$6:$E$600,"Not started")</f>
        <v>8</v>
      </c>
      <c r="H68" s="14" t="n">
        <f aca="false">COUNTIFS(P3_Planner!$B$6:$B$600,$B68,P3_Planner!$E$6:$E$600,"Skipped")</f>
        <v>0</v>
      </c>
      <c r="I68" s="20" t="n">
        <f aca="false">IFERROR(D68/(C68-H68),0)</f>
        <v>0</v>
      </c>
    </row>
    <row r="69" customFormat="false" ht="15" hidden="false" customHeight="false" outlineLevel="0" collapsed="false">
      <c r="A69" s="19" t="s">
        <v>87</v>
      </c>
      <c r="B69" s="17" t="s">
        <v>90</v>
      </c>
      <c r="C69" s="14" t="n">
        <f aca="false">SUM(D69:H69)</f>
        <v>10</v>
      </c>
      <c r="D69" s="14" t="n">
        <f aca="false">COUNTIFS(P3_Planner!$B$6:$B$600,$B69,P3_Planner!$E$6:$E$600,"Done")</f>
        <v>0</v>
      </c>
      <c r="E69" s="14" t="n">
        <f aca="false">COUNTIFS(P3_Planner!$B$6:$B$600,$B69,P3_Planner!$E$6:$E$600,"In progress")</f>
        <v>0</v>
      </c>
      <c r="F69" s="14" t="n">
        <f aca="false">COUNTIFS(P3_Planner!$B$6:$B$600,$B69,P3_Planner!$E$6:$E$600,"Blocked")</f>
        <v>0</v>
      </c>
      <c r="G69" s="14" t="n">
        <f aca="false">COUNTIFS(P3_Planner!$B$6:$B$600,$B69,P3_Planner!$E$6:$E$600,"Not started")</f>
        <v>10</v>
      </c>
      <c r="H69" s="14" t="n">
        <f aca="false">COUNTIFS(P3_Planner!$B$6:$B$600,$B69,P3_Planner!$E$6:$E$600,"Skipped")</f>
        <v>0</v>
      </c>
      <c r="I69" s="20" t="n">
        <f aca="false">IFERROR(D69/(C69-H69),0)</f>
        <v>0</v>
      </c>
    </row>
    <row r="70" customFormat="false" ht="15" hidden="false" customHeight="false" outlineLevel="0" collapsed="false">
      <c r="A70" s="19" t="s">
        <v>87</v>
      </c>
      <c r="B70" s="17" t="s">
        <v>91</v>
      </c>
      <c r="C70" s="14" t="n">
        <f aca="false">SUM(D70:H70)</f>
        <v>5</v>
      </c>
      <c r="D70" s="14" t="n">
        <f aca="false">COUNTIFS(P3_Planner!$B$6:$B$600,$B70,P3_Planner!$E$6:$E$600,"Done")</f>
        <v>0</v>
      </c>
      <c r="E70" s="14" t="n">
        <f aca="false">COUNTIFS(P3_Planner!$B$6:$B$600,$B70,P3_Planner!$E$6:$E$600,"In progress")</f>
        <v>0</v>
      </c>
      <c r="F70" s="14" t="n">
        <f aca="false">COUNTIFS(P3_Planner!$B$6:$B$600,$B70,P3_Planner!$E$6:$E$600,"Blocked")</f>
        <v>0</v>
      </c>
      <c r="G70" s="14" t="n">
        <f aca="false">COUNTIFS(P3_Planner!$B$6:$B$600,$B70,P3_Planner!$E$6:$E$600,"Not started")</f>
        <v>5</v>
      </c>
      <c r="H70" s="14" t="n">
        <f aca="false">COUNTIFS(P3_Planner!$B$6:$B$600,$B70,P3_Planner!$E$6:$E$600,"Skipped")</f>
        <v>0</v>
      </c>
      <c r="I70" s="20" t="n">
        <f aca="false">IFERROR(D70/(C70-H70),0)</f>
        <v>0</v>
      </c>
    </row>
    <row r="71" customFormat="false" ht="15" hidden="false" customHeight="false" outlineLevel="0" collapsed="false">
      <c r="A71" s="19" t="s">
        <v>87</v>
      </c>
      <c r="B71" s="17" t="s">
        <v>92</v>
      </c>
      <c r="C71" s="14" t="n">
        <f aca="false">SUM(D71:H71)</f>
        <v>7</v>
      </c>
      <c r="D71" s="14" t="n">
        <f aca="false">COUNTIFS(P3_Planner!$B$6:$B$600,$B71,P3_Planner!$E$6:$E$600,"Done")</f>
        <v>0</v>
      </c>
      <c r="E71" s="14" t="n">
        <f aca="false">COUNTIFS(P3_Planner!$B$6:$B$600,$B71,P3_Planner!$E$6:$E$600,"In progress")</f>
        <v>0</v>
      </c>
      <c r="F71" s="14" t="n">
        <f aca="false">COUNTIFS(P3_Planner!$B$6:$B$600,$B71,P3_Planner!$E$6:$E$600,"Blocked")</f>
        <v>0</v>
      </c>
      <c r="G71" s="14" t="n">
        <f aca="false">COUNTIFS(P3_Planner!$B$6:$B$600,$B71,P3_Planner!$E$6:$E$600,"Not started")</f>
        <v>7</v>
      </c>
      <c r="H71" s="14" t="n">
        <f aca="false">COUNTIFS(P3_Planner!$B$6:$B$600,$B71,P3_Planner!$E$6:$E$600,"Skipped")</f>
        <v>0</v>
      </c>
      <c r="I71" s="20" t="n">
        <f aca="false">IFERROR(D71/(C71-H71),0)</f>
        <v>0</v>
      </c>
    </row>
    <row r="72" customFormat="false" ht="15" hidden="false" customHeight="false" outlineLevel="0" collapsed="false">
      <c r="A72" s="19" t="s">
        <v>87</v>
      </c>
      <c r="B72" s="17" t="s">
        <v>93</v>
      </c>
      <c r="C72" s="14" t="n">
        <f aca="false">SUM(D72:H72)</f>
        <v>13</v>
      </c>
      <c r="D72" s="14" t="n">
        <f aca="false">COUNTIFS(P3_Planner!$B$6:$B$600,$B72,P3_Planner!$E$6:$E$600,"Done")</f>
        <v>0</v>
      </c>
      <c r="E72" s="14" t="n">
        <f aca="false">COUNTIFS(P3_Planner!$B$6:$B$600,$B72,P3_Planner!$E$6:$E$600,"In progress")</f>
        <v>0</v>
      </c>
      <c r="F72" s="14" t="n">
        <f aca="false">COUNTIFS(P3_Planner!$B$6:$B$600,$B72,P3_Planner!$E$6:$E$600,"Blocked")</f>
        <v>0</v>
      </c>
      <c r="G72" s="14" t="n">
        <f aca="false">COUNTIFS(P3_Planner!$B$6:$B$600,$B72,P3_Planner!$E$6:$E$600,"Not started")</f>
        <v>13</v>
      </c>
      <c r="H72" s="14" t="n">
        <f aca="false">COUNTIFS(P3_Planner!$B$6:$B$600,$B72,P3_Planner!$E$6:$E$600,"Skipped")</f>
        <v>0</v>
      </c>
      <c r="I72" s="20" t="n">
        <f aca="false">IFERROR(D72/(C72-H72),0)</f>
        <v>0</v>
      </c>
    </row>
    <row r="73" customFormat="false" ht="15" hidden="false" customHeight="false" outlineLevel="0" collapsed="false">
      <c r="A73" s="19" t="s">
        <v>87</v>
      </c>
      <c r="B73" s="17" t="s">
        <v>94</v>
      </c>
      <c r="C73" s="14" t="n">
        <f aca="false">SUM(D73:H73)</f>
        <v>5</v>
      </c>
      <c r="D73" s="14" t="n">
        <f aca="false">COUNTIFS(P3_Planner!$B$6:$B$600,$B73,P3_Planner!$E$6:$E$600,"Done")</f>
        <v>0</v>
      </c>
      <c r="E73" s="14" t="n">
        <f aca="false">COUNTIFS(P3_Planner!$B$6:$B$600,$B73,P3_Planner!$E$6:$E$600,"In progress")</f>
        <v>0</v>
      </c>
      <c r="F73" s="14" t="n">
        <f aca="false">COUNTIFS(P3_Planner!$B$6:$B$600,$B73,P3_Planner!$E$6:$E$600,"Blocked")</f>
        <v>0</v>
      </c>
      <c r="G73" s="14" t="n">
        <f aca="false">COUNTIFS(P3_Planner!$B$6:$B$600,$B73,P3_Planner!$E$6:$E$600,"Not started")</f>
        <v>5</v>
      </c>
      <c r="H73" s="14" t="n">
        <f aca="false">COUNTIFS(P3_Planner!$B$6:$B$600,$B73,P3_Planner!$E$6:$E$600,"Skipped")</f>
        <v>0</v>
      </c>
      <c r="I73" s="20" t="n">
        <f aca="false">IFERROR(D73/(C73-H73),0)</f>
        <v>0</v>
      </c>
    </row>
    <row r="74" customFormat="false" ht="15" hidden="false" customHeight="false" outlineLevel="0" collapsed="false">
      <c r="A74" s="19" t="s">
        <v>87</v>
      </c>
      <c r="B74" s="17" t="s">
        <v>95</v>
      </c>
      <c r="C74" s="14" t="n">
        <f aca="false">SUM(D74:H74)</f>
        <v>5</v>
      </c>
      <c r="D74" s="14" t="n">
        <f aca="false">COUNTIFS(P3_Planner!$B$6:$B$600,$B74,P3_Planner!$E$6:$E$600,"Done")</f>
        <v>0</v>
      </c>
      <c r="E74" s="14" t="n">
        <f aca="false">COUNTIFS(P3_Planner!$B$6:$B$600,$B74,P3_Planner!$E$6:$E$600,"In progress")</f>
        <v>0</v>
      </c>
      <c r="F74" s="14" t="n">
        <f aca="false">COUNTIFS(P3_Planner!$B$6:$B$600,$B74,P3_Planner!$E$6:$E$600,"Blocked")</f>
        <v>0</v>
      </c>
      <c r="G74" s="14" t="n">
        <f aca="false">COUNTIFS(P3_Planner!$B$6:$B$600,$B74,P3_Planner!$E$6:$E$600,"Not started")</f>
        <v>5</v>
      </c>
      <c r="H74" s="14" t="n">
        <f aca="false">COUNTIFS(P3_Planner!$B$6:$B$600,$B74,P3_Planner!$E$6:$E$600,"Skipped")</f>
        <v>0</v>
      </c>
      <c r="I74" s="20" t="n">
        <f aca="false">IFERROR(D74/(C74-H74),0)</f>
        <v>0</v>
      </c>
    </row>
    <row r="75" customFormat="false" ht="15" hidden="false" customHeight="false" outlineLevel="0" collapsed="false">
      <c r="A75" s="19" t="s">
        <v>87</v>
      </c>
      <c r="B75" s="17" t="s">
        <v>96</v>
      </c>
      <c r="C75" s="14" t="n">
        <f aca="false">SUM(D75:H75)</f>
        <v>12</v>
      </c>
      <c r="D75" s="14" t="n">
        <f aca="false">COUNTIFS(P3_Planner!$B$6:$B$600,$B75,P3_Planner!$E$6:$E$600,"Done")</f>
        <v>0</v>
      </c>
      <c r="E75" s="14" t="n">
        <f aca="false">COUNTIFS(P3_Planner!$B$6:$B$600,$B75,P3_Planner!$E$6:$E$600,"In progress")</f>
        <v>0</v>
      </c>
      <c r="F75" s="14" t="n">
        <f aca="false">COUNTIFS(P3_Planner!$B$6:$B$600,$B75,P3_Planner!$E$6:$E$600,"Blocked")</f>
        <v>0</v>
      </c>
      <c r="G75" s="14" t="n">
        <f aca="false">COUNTIFS(P3_Planner!$B$6:$B$600,$B75,P3_Planner!$E$6:$E$600,"Not started")</f>
        <v>12</v>
      </c>
      <c r="H75" s="14" t="n">
        <f aca="false">COUNTIFS(P3_Planner!$B$6:$B$600,$B75,P3_Planner!$E$6:$E$600,"Skipped")</f>
        <v>0</v>
      </c>
      <c r="I75" s="20" t="n">
        <f aca="false">IFERROR(D75/(C75-H75),0)</f>
        <v>0</v>
      </c>
    </row>
    <row r="76" customFormat="false" ht="15" hidden="false" customHeight="false" outlineLevel="0" collapsed="false">
      <c r="A76" s="19" t="s">
        <v>87</v>
      </c>
      <c r="B76" s="17" t="s">
        <v>97</v>
      </c>
      <c r="C76" s="14" t="n">
        <f aca="false">SUM(D76:H76)</f>
        <v>7</v>
      </c>
      <c r="D76" s="14" t="n">
        <f aca="false">COUNTIFS(P3_Planner!$B$6:$B$600,$B76,P3_Planner!$E$6:$E$600,"Done")</f>
        <v>0</v>
      </c>
      <c r="E76" s="14" t="n">
        <f aca="false">COUNTIFS(P3_Planner!$B$6:$B$600,$B76,P3_Planner!$E$6:$E$600,"In progress")</f>
        <v>0</v>
      </c>
      <c r="F76" s="14" t="n">
        <f aca="false">COUNTIFS(P3_Planner!$B$6:$B$600,$B76,P3_Planner!$E$6:$E$600,"Blocked")</f>
        <v>0</v>
      </c>
      <c r="G76" s="14" t="n">
        <f aca="false">COUNTIFS(P3_Planner!$B$6:$B$600,$B76,P3_Planner!$E$6:$E$600,"Not started")</f>
        <v>7</v>
      </c>
      <c r="H76" s="14" t="n">
        <f aca="false">COUNTIFS(P3_Planner!$B$6:$B$600,$B76,P3_Planner!$E$6:$E$600,"Skipped")</f>
        <v>0</v>
      </c>
      <c r="I76" s="20" t="n">
        <f aca="false">IFERROR(D76/(C76-H76),0)</f>
        <v>0</v>
      </c>
    </row>
    <row r="77" customFormat="false" ht="15" hidden="false" customHeight="false" outlineLevel="0" collapsed="false">
      <c r="A77" s="19" t="s">
        <v>87</v>
      </c>
      <c r="B77" s="17" t="s">
        <v>98</v>
      </c>
      <c r="C77" s="14" t="n">
        <f aca="false">SUM(D77:H77)</f>
        <v>2</v>
      </c>
      <c r="D77" s="14" t="n">
        <f aca="false">COUNTIFS(P3_Planner!$B$6:$B$600,$B77,P3_Planner!$E$6:$E$600,"Done")</f>
        <v>0</v>
      </c>
      <c r="E77" s="14" t="n">
        <f aca="false">COUNTIFS(P3_Planner!$B$6:$B$600,$B77,P3_Planner!$E$6:$E$600,"In progress")</f>
        <v>0</v>
      </c>
      <c r="F77" s="14" t="n">
        <f aca="false">COUNTIFS(P3_Planner!$B$6:$B$600,$B77,P3_Planner!$E$6:$E$600,"Blocked")</f>
        <v>0</v>
      </c>
      <c r="G77" s="14" t="n">
        <f aca="false">COUNTIFS(P3_Planner!$B$6:$B$600,$B77,P3_Planner!$E$6:$E$600,"Not started")</f>
        <v>2</v>
      </c>
      <c r="H77" s="14" t="n">
        <f aca="false">COUNTIFS(P3_Planner!$B$6:$B$600,$B77,P3_Planner!$E$6:$E$600,"Skipped")</f>
        <v>0</v>
      </c>
      <c r="I77" s="20" t="n">
        <f aca="false">IFERROR(D77/(C77-H77),0)</f>
        <v>0</v>
      </c>
    </row>
    <row r="78" customFormat="false" ht="15" hidden="false" customHeight="false" outlineLevel="0" collapsed="false">
      <c r="A78" s="19" t="s">
        <v>99</v>
      </c>
      <c r="B78" s="17" t="s">
        <v>100</v>
      </c>
      <c r="C78" s="14" t="n">
        <f aca="false">SUM(D78:H78)</f>
        <v>5</v>
      </c>
      <c r="D78" s="14" t="n">
        <f aca="false">COUNTIFS(P4_Perf!$B$6:$B$600,$B78,P4_Perf!$E$6:$E$600,"Done")</f>
        <v>0</v>
      </c>
      <c r="E78" s="14" t="n">
        <f aca="false">COUNTIFS(P4_Perf!$B$6:$B$600,$B78,P4_Perf!$E$6:$E$600,"In progress")</f>
        <v>0</v>
      </c>
      <c r="F78" s="14" t="n">
        <f aca="false">COUNTIFS(P4_Perf!$B$6:$B$600,$B78,P4_Perf!$E$6:$E$600,"Blocked")</f>
        <v>0</v>
      </c>
      <c r="G78" s="14" t="n">
        <f aca="false">COUNTIFS(P4_Perf!$B$6:$B$600,$B78,P4_Perf!$E$6:$E$600,"Not started")</f>
        <v>5</v>
      </c>
      <c r="H78" s="14" t="n">
        <f aca="false">COUNTIFS(P4_Perf!$B$6:$B$600,$B78,P4_Perf!$E$6:$E$600,"Skipped")</f>
        <v>0</v>
      </c>
      <c r="I78" s="20" t="n">
        <f aca="false">IFERROR(D78/(C78-H78),0)</f>
        <v>0</v>
      </c>
    </row>
    <row r="79" customFormat="false" ht="15" hidden="false" customHeight="false" outlineLevel="0" collapsed="false">
      <c r="A79" s="19" t="s">
        <v>99</v>
      </c>
      <c r="B79" s="17" t="s">
        <v>101</v>
      </c>
      <c r="C79" s="14" t="n">
        <f aca="false">SUM(D79:H79)</f>
        <v>9</v>
      </c>
      <c r="D79" s="14" t="n">
        <f aca="false">COUNTIFS(P4_Perf!$B$6:$B$600,$B79,P4_Perf!$E$6:$E$600,"Done")</f>
        <v>0</v>
      </c>
      <c r="E79" s="14" t="n">
        <f aca="false">COUNTIFS(P4_Perf!$B$6:$B$600,$B79,P4_Perf!$E$6:$E$600,"In progress")</f>
        <v>0</v>
      </c>
      <c r="F79" s="14" t="n">
        <f aca="false">COUNTIFS(P4_Perf!$B$6:$B$600,$B79,P4_Perf!$E$6:$E$600,"Blocked")</f>
        <v>0</v>
      </c>
      <c r="G79" s="14" t="n">
        <f aca="false">COUNTIFS(P4_Perf!$B$6:$B$600,$B79,P4_Perf!$E$6:$E$600,"Not started")</f>
        <v>9</v>
      </c>
      <c r="H79" s="14" t="n">
        <f aca="false">COUNTIFS(P4_Perf!$B$6:$B$600,$B79,P4_Perf!$E$6:$E$600,"Skipped")</f>
        <v>0</v>
      </c>
      <c r="I79" s="20" t="n">
        <f aca="false">IFERROR(D79/(C79-H79),0)</f>
        <v>0</v>
      </c>
    </row>
    <row r="80" customFormat="false" ht="15" hidden="false" customHeight="false" outlineLevel="0" collapsed="false">
      <c r="A80" s="19" t="s">
        <v>99</v>
      </c>
      <c r="B80" s="17" t="s">
        <v>102</v>
      </c>
      <c r="C80" s="14" t="n">
        <f aca="false">SUM(D80:H80)</f>
        <v>10</v>
      </c>
      <c r="D80" s="14" t="n">
        <f aca="false">COUNTIFS(P4_Perf!$B$6:$B$600,$B80,P4_Perf!$E$6:$E$600,"Done")</f>
        <v>0</v>
      </c>
      <c r="E80" s="14" t="n">
        <f aca="false">COUNTIFS(P4_Perf!$B$6:$B$600,$B80,P4_Perf!$E$6:$E$600,"In progress")</f>
        <v>0</v>
      </c>
      <c r="F80" s="14" t="n">
        <f aca="false">COUNTIFS(P4_Perf!$B$6:$B$600,$B80,P4_Perf!$E$6:$E$600,"Blocked")</f>
        <v>0</v>
      </c>
      <c r="G80" s="14" t="n">
        <f aca="false">COUNTIFS(P4_Perf!$B$6:$B$600,$B80,P4_Perf!$E$6:$E$600,"Not started")</f>
        <v>10</v>
      </c>
      <c r="H80" s="14" t="n">
        <f aca="false">COUNTIFS(P4_Perf!$B$6:$B$600,$B80,P4_Perf!$E$6:$E$600,"Skipped")</f>
        <v>0</v>
      </c>
      <c r="I80" s="20" t="n">
        <f aca="false">IFERROR(D80/(C80-H80),0)</f>
        <v>0</v>
      </c>
    </row>
    <row r="81" customFormat="false" ht="15" hidden="false" customHeight="false" outlineLevel="0" collapsed="false">
      <c r="A81" s="19" t="s">
        <v>99</v>
      </c>
      <c r="B81" s="17" t="s">
        <v>103</v>
      </c>
      <c r="C81" s="14" t="n">
        <f aca="false">SUM(D81:H81)</f>
        <v>6</v>
      </c>
      <c r="D81" s="14" t="n">
        <f aca="false">COUNTIFS(P4_Perf!$B$6:$B$600,$B81,P4_Perf!$E$6:$E$600,"Done")</f>
        <v>0</v>
      </c>
      <c r="E81" s="14" t="n">
        <f aca="false">COUNTIFS(P4_Perf!$B$6:$B$600,$B81,P4_Perf!$E$6:$E$600,"In progress")</f>
        <v>0</v>
      </c>
      <c r="F81" s="14" t="n">
        <f aca="false">COUNTIFS(P4_Perf!$B$6:$B$600,$B81,P4_Perf!$E$6:$E$600,"Blocked")</f>
        <v>0</v>
      </c>
      <c r="G81" s="14" t="n">
        <f aca="false">COUNTIFS(P4_Perf!$B$6:$B$600,$B81,P4_Perf!$E$6:$E$600,"Not started")</f>
        <v>6</v>
      </c>
      <c r="H81" s="14" t="n">
        <f aca="false">COUNTIFS(P4_Perf!$B$6:$B$600,$B81,P4_Perf!$E$6:$E$600,"Skipped")</f>
        <v>0</v>
      </c>
      <c r="I81" s="20" t="n">
        <f aca="false">IFERROR(D81/(C81-H81),0)</f>
        <v>0</v>
      </c>
    </row>
    <row r="82" customFormat="false" ht="15" hidden="false" customHeight="false" outlineLevel="0" collapsed="false">
      <c r="A82" s="19" t="s">
        <v>99</v>
      </c>
      <c r="B82" s="17" t="s">
        <v>104</v>
      </c>
      <c r="C82" s="14" t="n">
        <f aca="false">SUM(D82:H82)</f>
        <v>13</v>
      </c>
      <c r="D82" s="14" t="n">
        <f aca="false">COUNTIFS(P4_Perf!$B$6:$B$600,$B82,P4_Perf!$E$6:$E$600,"Done")</f>
        <v>0</v>
      </c>
      <c r="E82" s="14" t="n">
        <f aca="false">COUNTIFS(P4_Perf!$B$6:$B$600,$B82,P4_Perf!$E$6:$E$600,"In progress")</f>
        <v>0</v>
      </c>
      <c r="F82" s="14" t="n">
        <f aca="false">COUNTIFS(P4_Perf!$B$6:$B$600,$B82,P4_Perf!$E$6:$E$600,"Blocked")</f>
        <v>0</v>
      </c>
      <c r="G82" s="14" t="n">
        <f aca="false">COUNTIFS(P4_Perf!$B$6:$B$600,$B82,P4_Perf!$E$6:$E$600,"Not started")</f>
        <v>13</v>
      </c>
      <c r="H82" s="14" t="n">
        <f aca="false">COUNTIFS(P4_Perf!$B$6:$B$600,$B82,P4_Perf!$E$6:$E$600,"Skipped")</f>
        <v>0</v>
      </c>
      <c r="I82" s="20" t="n">
        <f aca="false">IFERROR(D82/(C82-H82),0)</f>
        <v>0</v>
      </c>
    </row>
    <row r="83" customFormat="false" ht="15" hidden="false" customHeight="false" outlineLevel="0" collapsed="false">
      <c r="A83" s="19" t="s">
        <v>99</v>
      </c>
      <c r="B83" s="17" t="s">
        <v>105</v>
      </c>
      <c r="C83" s="14" t="n">
        <f aca="false">SUM(D83:H83)</f>
        <v>12</v>
      </c>
      <c r="D83" s="14" t="n">
        <f aca="false">COUNTIFS(P4_Perf!$B$6:$B$600,$B83,P4_Perf!$E$6:$E$600,"Done")</f>
        <v>0</v>
      </c>
      <c r="E83" s="14" t="n">
        <f aca="false">COUNTIFS(P4_Perf!$B$6:$B$600,$B83,P4_Perf!$E$6:$E$600,"In progress")</f>
        <v>0</v>
      </c>
      <c r="F83" s="14" t="n">
        <f aca="false">COUNTIFS(P4_Perf!$B$6:$B$600,$B83,P4_Perf!$E$6:$E$600,"Blocked")</f>
        <v>0</v>
      </c>
      <c r="G83" s="14" t="n">
        <f aca="false">COUNTIFS(P4_Perf!$B$6:$B$600,$B83,P4_Perf!$E$6:$E$600,"Not started")</f>
        <v>12</v>
      </c>
      <c r="H83" s="14" t="n">
        <f aca="false">COUNTIFS(P4_Perf!$B$6:$B$600,$B83,P4_Perf!$E$6:$E$600,"Skipped")</f>
        <v>0</v>
      </c>
      <c r="I83" s="20" t="n">
        <f aca="false">IFERROR(D83/(C83-H83),0)</f>
        <v>0</v>
      </c>
    </row>
    <row r="84" customFormat="false" ht="15" hidden="false" customHeight="false" outlineLevel="0" collapsed="false">
      <c r="A84" s="19" t="s">
        <v>99</v>
      </c>
      <c r="B84" s="17" t="s">
        <v>106</v>
      </c>
      <c r="C84" s="14" t="n">
        <f aca="false">SUM(D84:H84)</f>
        <v>8</v>
      </c>
      <c r="D84" s="14" t="n">
        <f aca="false">COUNTIFS(P4_Perf!$B$6:$B$600,$B84,P4_Perf!$E$6:$E$600,"Done")</f>
        <v>0</v>
      </c>
      <c r="E84" s="14" t="n">
        <f aca="false">COUNTIFS(P4_Perf!$B$6:$B$600,$B84,P4_Perf!$E$6:$E$600,"In progress")</f>
        <v>0</v>
      </c>
      <c r="F84" s="14" t="n">
        <f aca="false">COUNTIFS(P4_Perf!$B$6:$B$600,$B84,P4_Perf!$E$6:$E$600,"Blocked")</f>
        <v>0</v>
      </c>
      <c r="G84" s="14" t="n">
        <f aca="false">COUNTIFS(P4_Perf!$B$6:$B$600,$B84,P4_Perf!$E$6:$E$600,"Not started")</f>
        <v>8</v>
      </c>
      <c r="H84" s="14" t="n">
        <f aca="false">COUNTIFS(P4_Perf!$B$6:$B$600,$B84,P4_Perf!$E$6:$E$600,"Skipped")</f>
        <v>0</v>
      </c>
      <c r="I84" s="20" t="n">
        <f aca="false">IFERROR(D84/(C84-H84),0)</f>
        <v>0</v>
      </c>
    </row>
    <row r="85" customFormat="false" ht="15" hidden="false" customHeight="false" outlineLevel="0" collapsed="false">
      <c r="A85" s="19" t="s">
        <v>99</v>
      </c>
      <c r="B85" s="17" t="s">
        <v>107</v>
      </c>
      <c r="C85" s="14" t="n">
        <f aca="false">SUM(D85:H85)</f>
        <v>9</v>
      </c>
      <c r="D85" s="14" t="n">
        <f aca="false">COUNTIFS(P4_Perf!$B$6:$B$600,$B85,P4_Perf!$E$6:$E$600,"Done")</f>
        <v>0</v>
      </c>
      <c r="E85" s="14" t="n">
        <f aca="false">COUNTIFS(P4_Perf!$B$6:$B$600,$B85,P4_Perf!$E$6:$E$600,"In progress")</f>
        <v>0</v>
      </c>
      <c r="F85" s="14" t="n">
        <f aca="false">COUNTIFS(P4_Perf!$B$6:$B$600,$B85,P4_Perf!$E$6:$E$600,"Blocked")</f>
        <v>0</v>
      </c>
      <c r="G85" s="14" t="n">
        <f aca="false">COUNTIFS(P4_Perf!$B$6:$B$600,$B85,P4_Perf!$E$6:$E$600,"Not started")</f>
        <v>9</v>
      </c>
      <c r="H85" s="14" t="n">
        <f aca="false">COUNTIFS(P4_Perf!$B$6:$B$600,$B85,P4_Perf!$E$6:$E$600,"Skipped")</f>
        <v>0</v>
      </c>
      <c r="I85" s="20" t="n">
        <f aca="false">IFERROR(D85/(C85-H85),0)</f>
        <v>0</v>
      </c>
    </row>
    <row r="86" customFormat="false" ht="15" hidden="false" customHeight="false" outlineLevel="0" collapsed="false">
      <c r="A86" s="19" t="s">
        <v>99</v>
      </c>
      <c r="B86" s="17" t="s">
        <v>108</v>
      </c>
      <c r="C86" s="14" t="n">
        <f aca="false">SUM(D86:H86)</f>
        <v>5</v>
      </c>
      <c r="D86" s="14" t="n">
        <f aca="false">COUNTIFS(P4_Perf!$B$6:$B$600,$B86,P4_Perf!$E$6:$E$600,"Done")</f>
        <v>0</v>
      </c>
      <c r="E86" s="14" t="n">
        <f aca="false">COUNTIFS(P4_Perf!$B$6:$B$600,$B86,P4_Perf!$E$6:$E$600,"In progress")</f>
        <v>0</v>
      </c>
      <c r="F86" s="14" t="n">
        <f aca="false">COUNTIFS(P4_Perf!$B$6:$B$600,$B86,P4_Perf!$E$6:$E$600,"Blocked")</f>
        <v>0</v>
      </c>
      <c r="G86" s="14" t="n">
        <f aca="false">COUNTIFS(P4_Perf!$B$6:$B$600,$B86,P4_Perf!$E$6:$E$600,"Not started")</f>
        <v>5</v>
      </c>
      <c r="H86" s="14" t="n">
        <f aca="false">COUNTIFS(P4_Perf!$B$6:$B$600,$B86,P4_Perf!$E$6:$E$600,"Skipped")</f>
        <v>0</v>
      </c>
      <c r="I86" s="20" t="n">
        <f aca="false">IFERROR(D86/(C86-H86),0)</f>
        <v>0</v>
      </c>
    </row>
    <row r="87" customFormat="false" ht="15" hidden="false" customHeight="false" outlineLevel="0" collapsed="false">
      <c r="A87" s="19" t="s">
        <v>99</v>
      </c>
      <c r="B87" s="17" t="s">
        <v>109</v>
      </c>
      <c r="C87" s="14" t="n">
        <f aca="false">SUM(D87:H87)</f>
        <v>7</v>
      </c>
      <c r="D87" s="14" t="n">
        <f aca="false">COUNTIFS(P4_Perf!$B$6:$B$600,$B87,P4_Perf!$E$6:$E$600,"Done")</f>
        <v>0</v>
      </c>
      <c r="E87" s="14" t="n">
        <f aca="false">COUNTIFS(P4_Perf!$B$6:$B$600,$B87,P4_Perf!$E$6:$E$600,"In progress")</f>
        <v>0</v>
      </c>
      <c r="F87" s="14" t="n">
        <f aca="false">COUNTIFS(P4_Perf!$B$6:$B$600,$B87,P4_Perf!$E$6:$E$600,"Blocked")</f>
        <v>0</v>
      </c>
      <c r="G87" s="14" t="n">
        <f aca="false">COUNTIFS(P4_Perf!$B$6:$B$600,$B87,P4_Perf!$E$6:$E$600,"Not started")</f>
        <v>7</v>
      </c>
      <c r="H87" s="14" t="n">
        <f aca="false">COUNTIFS(P4_Perf!$B$6:$B$600,$B87,P4_Perf!$E$6:$E$600,"Skipped")</f>
        <v>0</v>
      </c>
      <c r="I87" s="20" t="n">
        <f aca="false">IFERROR(D87/(C87-H87),0)</f>
        <v>0</v>
      </c>
    </row>
    <row r="88" customFormat="false" ht="15" hidden="false" customHeight="false" outlineLevel="0" collapsed="false">
      <c r="A88" s="19" t="s">
        <v>99</v>
      </c>
      <c r="B88" s="17" t="s">
        <v>110</v>
      </c>
      <c r="C88" s="14" t="n">
        <f aca="false">SUM(D88:H88)</f>
        <v>5</v>
      </c>
      <c r="D88" s="14" t="n">
        <f aca="false">COUNTIFS(P4_Perf!$B$6:$B$600,$B88,P4_Perf!$E$6:$E$600,"Done")</f>
        <v>0</v>
      </c>
      <c r="E88" s="14" t="n">
        <f aca="false">COUNTIFS(P4_Perf!$B$6:$B$600,$B88,P4_Perf!$E$6:$E$600,"In progress")</f>
        <v>0</v>
      </c>
      <c r="F88" s="14" t="n">
        <f aca="false">COUNTIFS(P4_Perf!$B$6:$B$600,$B88,P4_Perf!$E$6:$E$600,"Blocked")</f>
        <v>0</v>
      </c>
      <c r="G88" s="14" t="n">
        <f aca="false">COUNTIFS(P4_Perf!$B$6:$B$600,$B88,P4_Perf!$E$6:$E$600,"Not started")</f>
        <v>5</v>
      </c>
      <c r="H88" s="14" t="n">
        <f aca="false">COUNTIFS(P4_Perf!$B$6:$B$600,$B88,P4_Perf!$E$6:$E$600,"Skipped")</f>
        <v>0</v>
      </c>
      <c r="I88" s="20" t="n">
        <f aca="false">IFERROR(D88/(C88-H88),0)</f>
        <v>0</v>
      </c>
    </row>
    <row r="89" customFormat="false" ht="15" hidden="false" customHeight="false" outlineLevel="0" collapsed="false">
      <c r="A89" s="19" t="s">
        <v>99</v>
      </c>
      <c r="B89" s="17" t="s">
        <v>111</v>
      </c>
      <c r="C89" s="14" t="n">
        <f aca="false">SUM(D89:H89)</f>
        <v>2</v>
      </c>
      <c r="D89" s="14" t="n">
        <f aca="false">COUNTIFS(P4_Perf!$B$6:$B$600,$B89,P4_Perf!$E$6:$E$600,"Done")</f>
        <v>0</v>
      </c>
      <c r="E89" s="14" t="n">
        <f aca="false">COUNTIFS(P4_Perf!$B$6:$B$600,$B89,P4_Perf!$E$6:$E$600,"In progress")</f>
        <v>0</v>
      </c>
      <c r="F89" s="14" t="n">
        <f aca="false">COUNTIFS(P4_Perf!$B$6:$B$600,$B89,P4_Perf!$E$6:$E$600,"Blocked")</f>
        <v>0</v>
      </c>
      <c r="G89" s="14" t="n">
        <f aca="false">COUNTIFS(P4_Perf!$B$6:$B$600,$B89,P4_Perf!$E$6:$E$600,"Not started")</f>
        <v>2</v>
      </c>
      <c r="H89" s="14" t="n">
        <f aca="false">COUNTIFS(P4_Perf!$B$6:$B$600,$B89,P4_Perf!$E$6:$E$600,"Skipped")</f>
        <v>0</v>
      </c>
      <c r="I89" s="20" t="n">
        <f aca="false">IFERROR(D89/(C89-H89),0)</f>
        <v>0</v>
      </c>
    </row>
    <row r="90" customFormat="false" ht="15" hidden="false" customHeight="false" outlineLevel="0" collapsed="false">
      <c r="A90" s="19" t="s">
        <v>112</v>
      </c>
      <c r="B90" s="17" t="s">
        <v>113</v>
      </c>
      <c r="C90" s="14" t="n">
        <f aca="false">SUM(D90:H90)</f>
        <v>8</v>
      </c>
      <c r="D90" s="14" t="n">
        <f aca="false">COUNTIFS(P5_Streaming!$B$6:$B$600,$B90,P5_Streaming!$E$6:$E$600,"Done")</f>
        <v>0</v>
      </c>
      <c r="E90" s="14" t="n">
        <f aca="false">COUNTIFS(P5_Streaming!$B$6:$B$600,$B90,P5_Streaming!$E$6:$E$600,"In progress")</f>
        <v>0</v>
      </c>
      <c r="F90" s="14" t="n">
        <f aca="false">COUNTIFS(P5_Streaming!$B$6:$B$600,$B90,P5_Streaming!$E$6:$E$600,"Blocked")</f>
        <v>0</v>
      </c>
      <c r="G90" s="14" t="n">
        <f aca="false">COUNTIFS(P5_Streaming!$B$6:$B$600,$B90,P5_Streaming!$E$6:$E$600,"Not started")</f>
        <v>8</v>
      </c>
      <c r="H90" s="14" t="n">
        <f aca="false">COUNTIFS(P5_Streaming!$B$6:$B$600,$B90,P5_Streaming!$E$6:$E$600,"Skipped")</f>
        <v>0</v>
      </c>
      <c r="I90" s="20" t="n">
        <f aca="false">IFERROR(D90/(C90-H90),0)</f>
        <v>0</v>
      </c>
    </row>
    <row r="91" customFormat="false" ht="15" hidden="false" customHeight="false" outlineLevel="0" collapsed="false">
      <c r="A91" s="19" t="s">
        <v>112</v>
      </c>
      <c r="B91" s="17" t="s">
        <v>114</v>
      </c>
      <c r="C91" s="14" t="n">
        <f aca="false">SUM(D91:H91)</f>
        <v>9</v>
      </c>
      <c r="D91" s="14" t="n">
        <f aca="false">COUNTIFS(P5_Streaming!$B$6:$B$600,$B91,P5_Streaming!$E$6:$E$600,"Done")</f>
        <v>0</v>
      </c>
      <c r="E91" s="14" t="n">
        <f aca="false">COUNTIFS(P5_Streaming!$B$6:$B$600,$B91,P5_Streaming!$E$6:$E$600,"In progress")</f>
        <v>0</v>
      </c>
      <c r="F91" s="14" t="n">
        <f aca="false">COUNTIFS(P5_Streaming!$B$6:$B$600,$B91,P5_Streaming!$E$6:$E$600,"Blocked")</f>
        <v>0</v>
      </c>
      <c r="G91" s="14" t="n">
        <f aca="false">COUNTIFS(P5_Streaming!$B$6:$B$600,$B91,P5_Streaming!$E$6:$E$600,"Not started")</f>
        <v>9</v>
      </c>
      <c r="H91" s="14" t="n">
        <f aca="false">COUNTIFS(P5_Streaming!$B$6:$B$600,$B91,P5_Streaming!$E$6:$E$600,"Skipped")</f>
        <v>0</v>
      </c>
      <c r="I91" s="20" t="n">
        <f aca="false">IFERROR(D91/(C91-H91),0)</f>
        <v>0</v>
      </c>
    </row>
    <row r="92" customFormat="false" ht="15" hidden="false" customHeight="false" outlineLevel="0" collapsed="false">
      <c r="A92" s="19" t="s">
        <v>112</v>
      </c>
      <c r="B92" s="17" t="s">
        <v>115</v>
      </c>
      <c r="C92" s="14" t="n">
        <f aca="false">SUM(D92:H92)</f>
        <v>6</v>
      </c>
      <c r="D92" s="14" t="n">
        <f aca="false">COUNTIFS(P5_Streaming!$B$6:$B$600,$B92,P5_Streaming!$E$6:$E$600,"Done")</f>
        <v>0</v>
      </c>
      <c r="E92" s="14" t="n">
        <f aca="false">COUNTIFS(P5_Streaming!$B$6:$B$600,$B92,P5_Streaming!$E$6:$E$600,"In progress")</f>
        <v>0</v>
      </c>
      <c r="F92" s="14" t="n">
        <f aca="false">COUNTIFS(P5_Streaming!$B$6:$B$600,$B92,P5_Streaming!$E$6:$E$600,"Blocked")</f>
        <v>0</v>
      </c>
      <c r="G92" s="14" t="n">
        <f aca="false">COUNTIFS(P5_Streaming!$B$6:$B$600,$B92,P5_Streaming!$E$6:$E$600,"Not started")</f>
        <v>6</v>
      </c>
      <c r="H92" s="14" t="n">
        <f aca="false">COUNTIFS(P5_Streaming!$B$6:$B$600,$B92,P5_Streaming!$E$6:$E$600,"Skipped")</f>
        <v>0</v>
      </c>
      <c r="I92" s="20" t="n">
        <f aca="false">IFERROR(D92/(C92-H92),0)</f>
        <v>0</v>
      </c>
    </row>
    <row r="93" customFormat="false" ht="15" hidden="false" customHeight="false" outlineLevel="0" collapsed="false">
      <c r="A93" s="19" t="s">
        <v>112</v>
      </c>
      <c r="B93" s="17" t="s">
        <v>116</v>
      </c>
      <c r="C93" s="14" t="n">
        <f aca="false">SUM(D93:H93)</f>
        <v>7</v>
      </c>
      <c r="D93" s="14" t="n">
        <f aca="false">COUNTIFS(P5_Streaming!$B$6:$B$600,$B93,P5_Streaming!$E$6:$E$600,"Done")</f>
        <v>0</v>
      </c>
      <c r="E93" s="14" t="n">
        <f aca="false">COUNTIFS(P5_Streaming!$B$6:$B$600,$B93,P5_Streaming!$E$6:$E$600,"In progress")</f>
        <v>0</v>
      </c>
      <c r="F93" s="14" t="n">
        <f aca="false">COUNTIFS(P5_Streaming!$B$6:$B$600,$B93,P5_Streaming!$E$6:$E$600,"Blocked")</f>
        <v>0</v>
      </c>
      <c r="G93" s="14" t="n">
        <f aca="false">COUNTIFS(P5_Streaming!$B$6:$B$600,$B93,P5_Streaming!$E$6:$E$600,"Not started")</f>
        <v>7</v>
      </c>
      <c r="H93" s="14" t="n">
        <f aca="false">COUNTIFS(P5_Streaming!$B$6:$B$600,$B93,P5_Streaming!$E$6:$E$600,"Skipped")</f>
        <v>0</v>
      </c>
      <c r="I93" s="20" t="n">
        <f aca="false">IFERROR(D93/(C93-H93),0)</f>
        <v>0</v>
      </c>
    </row>
    <row r="94" customFormat="false" ht="15" hidden="false" customHeight="false" outlineLevel="0" collapsed="false">
      <c r="A94" s="19" t="s">
        <v>112</v>
      </c>
      <c r="B94" s="17" t="s">
        <v>117</v>
      </c>
      <c r="C94" s="14" t="n">
        <f aca="false">SUM(D94:H94)</f>
        <v>7</v>
      </c>
      <c r="D94" s="14" t="n">
        <f aca="false">COUNTIFS(P5_Streaming!$B$6:$B$600,$B94,P5_Streaming!$E$6:$E$600,"Done")</f>
        <v>0</v>
      </c>
      <c r="E94" s="14" t="n">
        <f aca="false">COUNTIFS(P5_Streaming!$B$6:$B$600,$B94,P5_Streaming!$E$6:$E$600,"In progress")</f>
        <v>0</v>
      </c>
      <c r="F94" s="14" t="n">
        <f aca="false">COUNTIFS(P5_Streaming!$B$6:$B$600,$B94,P5_Streaming!$E$6:$E$600,"Blocked")</f>
        <v>0</v>
      </c>
      <c r="G94" s="14" t="n">
        <f aca="false">COUNTIFS(P5_Streaming!$B$6:$B$600,$B94,P5_Streaming!$E$6:$E$600,"Not started")</f>
        <v>7</v>
      </c>
      <c r="H94" s="14" t="n">
        <f aca="false">COUNTIFS(P5_Streaming!$B$6:$B$600,$B94,P5_Streaming!$E$6:$E$600,"Skipped")</f>
        <v>0</v>
      </c>
      <c r="I94" s="20" t="n">
        <f aca="false">IFERROR(D94/(C94-H94),0)</f>
        <v>0</v>
      </c>
    </row>
    <row r="95" customFormat="false" ht="15" hidden="false" customHeight="false" outlineLevel="0" collapsed="false">
      <c r="A95" s="19" t="s">
        <v>112</v>
      </c>
      <c r="B95" s="17" t="s">
        <v>118</v>
      </c>
      <c r="C95" s="14" t="n">
        <f aca="false">SUM(D95:H95)</f>
        <v>11</v>
      </c>
      <c r="D95" s="14" t="n">
        <f aca="false">COUNTIFS(P5_Streaming!$B$6:$B$600,$B95,P5_Streaming!$E$6:$E$600,"Done")</f>
        <v>0</v>
      </c>
      <c r="E95" s="14" t="n">
        <f aca="false">COUNTIFS(P5_Streaming!$B$6:$B$600,$B95,P5_Streaming!$E$6:$E$600,"In progress")</f>
        <v>0</v>
      </c>
      <c r="F95" s="14" t="n">
        <f aca="false">COUNTIFS(P5_Streaming!$B$6:$B$600,$B95,P5_Streaming!$E$6:$E$600,"Blocked")</f>
        <v>0</v>
      </c>
      <c r="G95" s="14" t="n">
        <f aca="false">COUNTIFS(P5_Streaming!$B$6:$B$600,$B95,P5_Streaming!$E$6:$E$600,"Not started")</f>
        <v>11</v>
      </c>
      <c r="H95" s="14" t="n">
        <f aca="false">COUNTIFS(P5_Streaming!$B$6:$B$600,$B95,P5_Streaming!$E$6:$E$600,"Skipped")</f>
        <v>0</v>
      </c>
      <c r="I95" s="20" t="n">
        <f aca="false">IFERROR(D95/(C95-H95),0)</f>
        <v>0</v>
      </c>
    </row>
    <row r="96" customFormat="false" ht="15" hidden="false" customHeight="false" outlineLevel="0" collapsed="false">
      <c r="A96" s="19" t="s">
        <v>112</v>
      </c>
      <c r="B96" s="17" t="s">
        <v>119</v>
      </c>
      <c r="C96" s="14" t="n">
        <f aca="false">SUM(D96:H96)</f>
        <v>7</v>
      </c>
      <c r="D96" s="14" t="n">
        <f aca="false">COUNTIFS(P5_Streaming!$B$6:$B$600,$B96,P5_Streaming!$E$6:$E$600,"Done")</f>
        <v>0</v>
      </c>
      <c r="E96" s="14" t="n">
        <f aca="false">COUNTIFS(P5_Streaming!$B$6:$B$600,$B96,P5_Streaming!$E$6:$E$600,"In progress")</f>
        <v>0</v>
      </c>
      <c r="F96" s="14" t="n">
        <f aca="false">COUNTIFS(P5_Streaming!$B$6:$B$600,$B96,P5_Streaming!$E$6:$E$600,"Blocked")</f>
        <v>0</v>
      </c>
      <c r="G96" s="14" t="n">
        <f aca="false">COUNTIFS(P5_Streaming!$B$6:$B$600,$B96,P5_Streaming!$E$6:$E$600,"Not started")</f>
        <v>7</v>
      </c>
      <c r="H96" s="14" t="n">
        <f aca="false">COUNTIFS(P5_Streaming!$B$6:$B$600,$B96,P5_Streaming!$E$6:$E$600,"Skipped")</f>
        <v>0</v>
      </c>
      <c r="I96" s="20" t="n">
        <f aca="false">IFERROR(D96/(C96-H96),0)</f>
        <v>0</v>
      </c>
    </row>
    <row r="97" customFormat="false" ht="15" hidden="false" customHeight="false" outlineLevel="0" collapsed="false">
      <c r="A97" s="19" t="s">
        <v>112</v>
      </c>
      <c r="B97" s="17" t="s">
        <v>120</v>
      </c>
      <c r="C97" s="14" t="n">
        <f aca="false">SUM(D97:H97)</f>
        <v>6</v>
      </c>
      <c r="D97" s="14" t="n">
        <f aca="false">COUNTIFS(P5_Streaming!$B$6:$B$600,$B97,P5_Streaming!$E$6:$E$600,"Done")</f>
        <v>0</v>
      </c>
      <c r="E97" s="14" t="n">
        <f aca="false">COUNTIFS(P5_Streaming!$B$6:$B$600,$B97,P5_Streaming!$E$6:$E$600,"In progress")</f>
        <v>0</v>
      </c>
      <c r="F97" s="14" t="n">
        <f aca="false">COUNTIFS(P5_Streaming!$B$6:$B$600,$B97,P5_Streaming!$E$6:$E$600,"Blocked")</f>
        <v>0</v>
      </c>
      <c r="G97" s="14" t="n">
        <f aca="false">COUNTIFS(P5_Streaming!$B$6:$B$600,$B97,P5_Streaming!$E$6:$E$600,"Not started")</f>
        <v>6</v>
      </c>
      <c r="H97" s="14" t="n">
        <f aca="false">COUNTIFS(P5_Streaming!$B$6:$B$600,$B97,P5_Streaming!$E$6:$E$600,"Skipped")</f>
        <v>0</v>
      </c>
      <c r="I97" s="20" t="n">
        <f aca="false">IFERROR(D97/(C97-H97),0)</f>
        <v>0</v>
      </c>
    </row>
    <row r="98" customFormat="false" ht="15" hidden="false" customHeight="false" outlineLevel="0" collapsed="false">
      <c r="A98" s="19" t="s">
        <v>112</v>
      </c>
      <c r="B98" s="17" t="s">
        <v>121</v>
      </c>
      <c r="C98" s="14" t="n">
        <f aca="false">SUM(D98:H98)</f>
        <v>8</v>
      </c>
      <c r="D98" s="14" t="n">
        <f aca="false">COUNTIFS(P5_Streaming!$B$6:$B$600,$B98,P5_Streaming!$E$6:$E$600,"Done")</f>
        <v>0</v>
      </c>
      <c r="E98" s="14" t="n">
        <f aca="false">COUNTIFS(P5_Streaming!$B$6:$B$600,$B98,P5_Streaming!$E$6:$E$600,"In progress")</f>
        <v>0</v>
      </c>
      <c r="F98" s="14" t="n">
        <f aca="false">COUNTIFS(P5_Streaming!$B$6:$B$600,$B98,P5_Streaming!$E$6:$E$600,"Blocked")</f>
        <v>0</v>
      </c>
      <c r="G98" s="14" t="n">
        <f aca="false">COUNTIFS(P5_Streaming!$B$6:$B$600,$B98,P5_Streaming!$E$6:$E$600,"Not started")</f>
        <v>8</v>
      </c>
      <c r="H98" s="14" t="n">
        <f aca="false">COUNTIFS(P5_Streaming!$B$6:$B$600,$B98,P5_Streaming!$E$6:$E$600,"Skipped")</f>
        <v>0</v>
      </c>
      <c r="I98" s="20" t="n">
        <f aca="false">IFERROR(D98/(C98-H98),0)</f>
        <v>0</v>
      </c>
    </row>
    <row r="99" customFormat="false" ht="15" hidden="false" customHeight="false" outlineLevel="0" collapsed="false">
      <c r="A99" s="19" t="s">
        <v>112</v>
      </c>
      <c r="B99" s="17" t="s">
        <v>122</v>
      </c>
      <c r="C99" s="14" t="n">
        <f aca="false">SUM(D99:H99)</f>
        <v>6</v>
      </c>
      <c r="D99" s="14" t="n">
        <f aca="false">COUNTIFS(P5_Streaming!$B$6:$B$600,$B99,P5_Streaming!$E$6:$E$600,"Done")</f>
        <v>0</v>
      </c>
      <c r="E99" s="14" t="n">
        <f aca="false">COUNTIFS(P5_Streaming!$B$6:$B$600,$B99,P5_Streaming!$E$6:$E$600,"In progress")</f>
        <v>0</v>
      </c>
      <c r="F99" s="14" t="n">
        <f aca="false">COUNTIFS(P5_Streaming!$B$6:$B$600,$B99,P5_Streaming!$E$6:$E$600,"Blocked")</f>
        <v>0</v>
      </c>
      <c r="G99" s="14" t="n">
        <f aca="false">COUNTIFS(P5_Streaming!$B$6:$B$600,$B99,P5_Streaming!$E$6:$E$600,"Not started")</f>
        <v>6</v>
      </c>
      <c r="H99" s="14" t="n">
        <f aca="false">COUNTIFS(P5_Streaming!$B$6:$B$600,$B99,P5_Streaming!$E$6:$E$600,"Skipped")</f>
        <v>0</v>
      </c>
      <c r="I99" s="20" t="n">
        <f aca="false">IFERROR(D99/(C99-H99),0)</f>
        <v>0</v>
      </c>
    </row>
    <row r="100" customFormat="false" ht="15" hidden="false" customHeight="false" outlineLevel="0" collapsed="false">
      <c r="A100" s="19" t="s">
        <v>112</v>
      </c>
      <c r="B100" s="17" t="s">
        <v>98</v>
      </c>
      <c r="C100" s="14" t="n">
        <f aca="false">SUM(D100:H100)</f>
        <v>2</v>
      </c>
      <c r="D100" s="14" t="n">
        <f aca="false">COUNTIFS(P5_Streaming!$B$6:$B$600,$B100,P5_Streaming!$E$6:$E$600,"Done")</f>
        <v>0</v>
      </c>
      <c r="E100" s="14" t="n">
        <f aca="false">COUNTIFS(P5_Streaming!$B$6:$B$600,$B100,P5_Streaming!$E$6:$E$600,"In progress")</f>
        <v>0</v>
      </c>
      <c r="F100" s="14" t="n">
        <f aca="false">COUNTIFS(P5_Streaming!$B$6:$B$600,$B100,P5_Streaming!$E$6:$E$600,"Blocked")</f>
        <v>0</v>
      </c>
      <c r="G100" s="14" t="n">
        <f aca="false">COUNTIFS(P5_Streaming!$B$6:$B$600,$B100,P5_Streaming!$E$6:$E$600,"Not started")</f>
        <v>2</v>
      </c>
      <c r="H100" s="14" t="n">
        <f aca="false">COUNTIFS(P5_Streaming!$B$6:$B$600,$B100,P5_Streaming!$E$6:$E$600,"Skipped")</f>
        <v>0</v>
      </c>
      <c r="I100" s="20" t="n">
        <f aca="false">IFERROR(D100/(C100-H100),0)</f>
        <v>0</v>
      </c>
    </row>
  </sheetData>
  <conditionalFormatting sqref="I13">
    <cfRule type="dataBar" priority="2">
      <dataBar showValue="1" minLength="10" maxLength="90">
        <cfvo type="num" val="0"/>
        <cfvo type="num" val="1"/>
        <color rgb="FF70AD47"/>
      </dataBar>
      <extLst>
        <ext xmlns:x14="http://schemas.microsoft.com/office/spreadsheetml/2009/9/main" uri="{B025F937-C7B1-47D3-B67F-A62EFF666E3E}">
          <x14:id>{BDD4E370-4059-4F31-9BBA-3672D3DA26CC}</x14:id>
        </ext>
      </extLst>
    </cfRule>
  </conditionalFormatting>
  <conditionalFormatting sqref="I17:I22">
    <cfRule type="dataBar" priority="3">
      <dataBar showValue="1" minLength="10" maxLength="90">
        <cfvo type="num" val="0"/>
        <cfvo type="num" val="1"/>
        <color rgb="FF70AD47"/>
      </dataBar>
      <extLst>
        <ext xmlns:x14="http://schemas.microsoft.com/office/spreadsheetml/2009/9/main" uri="{B025F937-C7B1-47D3-B67F-A62EFF666E3E}">
          <x14:id>{4ADBA2AA-2CD0-4480-8B20-D06985F41068}</x14:id>
        </ext>
      </extLst>
    </cfRule>
  </conditionalFormatting>
  <conditionalFormatting sqref="I39:I100">
    <cfRule type="dataBar" priority="4">
      <dataBar showValue="1" minLength="10" maxLength="90">
        <cfvo type="num" val="0"/>
        <cfvo type="num" val="1"/>
        <color rgb="FF70AD47"/>
      </dataBar>
      <extLst>
        <ext xmlns:x14="http://schemas.microsoft.com/office/spreadsheetml/2009/9/main" uri="{B025F937-C7B1-47D3-B67F-A62EFF666E3E}">
          <x14:id>{18741D5C-7896-4B30-BB99-34513AFD78D5}</x14:id>
        </ext>
      </extLst>
    </cfRule>
  </conditionalFormatting>
  <conditionalFormatting sqref="F17:F22">
    <cfRule type="cellIs" priority="5" operator="greaterThan" aboveAverage="0" equalAverage="0" bottom="0" percent="0" rank="0" text="" dxfId="0">
      <formula>0</formula>
    </cfRule>
  </conditionalFormatting>
  <conditionalFormatting sqref="F39:F100">
    <cfRule type="cellIs" priority="6" operator="greaterThan" aboveAverage="0" equalAverage="0" bottom="0" percent="0" rank="0" text="" dxfId="0">
      <formula>0</formula>
    </cfRule>
  </conditionalFormatting>
  <hyperlinks>
    <hyperlink ref="B17" r:id="rId1" location="Setup!A1" display="Setup and gates (open tab)"/>
    <hyperlink ref="B18" r:id="rId2" location="P1_ETL!A1" display="Project 1: Lakehouse medallion ETL"/>
    <hyperlink ref="B19" r:id="rId3" location="P2_Joins!A1" display="Project 2: Joins, shuffles and skew"/>
    <hyperlink ref="B20" r:id="rId4" location="P3_Planner!A1" display="Project 3: Catalyst and query planning"/>
    <hyperlink ref="B21" r:id="rId5" location="P4_Perf!A1" display="Project 4: Executors, memory and I/O performance"/>
    <hyperlink ref="B22" r:id="rId6" location="P5_Streaming!A1" display="Project 5: Streaming and CDC into Iceber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DD4E370-4059-4F31-9BBA-3672D3DA26CC}">
            <x14:dataBar minLength="10" maxLength="90" axisPosition="none" gradient="true">
              <x14:cfvo type="num">
                <xm:f>0</xm:f>
              </x14:cfvo>
              <x14:cfvo type="num">
                <xm:f>1</xm:f>
              </x14:cfvo>
              <x14:negativeFillColor rgb="FF70AD47"/>
              <x14:axisColor rgb="FF000000"/>
            </x14:dataBar>
          </x14:cfRule>
          <xm:sqref>I13</xm:sqref>
        </x14:conditionalFormatting>
        <x14:conditionalFormatting xmlns:xm="http://schemas.microsoft.com/office/excel/2006/main">
          <x14:cfRule type="dataBar" id="{4ADBA2AA-2CD0-4480-8B20-D06985F41068}">
            <x14:dataBar minLength="10" maxLength="90" axisPosition="none" gradient="true">
              <x14:cfvo type="num">
                <xm:f>0</xm:f>
              </x14:cfvo>
              <x14:cfvo type="num">
                <xm:f>1</xm:f>
              </x14:cfvo>
              <x14:negativeFillColor rgb="FF70AD47"/>
              <x14:axisColor rgb="FF000000"/>
            </x14:dataBar>
          </x14:cfRule>
          <xm:sqref>I17:I22</xm:sqref>
        </x14:conditionalFormatting>
        <x14:conditionalFormatting xmlns:xm="http://schemas.microsoft.com/office/excel/2006/main">
          <x14:cfRule type="dataBar" id="{18741D5C-7896-4B30-BB99-34513AFD78D5}">
            <x14:dataBar minLength="10" maxLength="90" axisPosition="none" gradient="true">
              <x14:cfvo type="num">
                <xm:f>0</xm:f>
              </x14:cfvo>
              <x14:cfvo type="num">
                <xm:f>1</xm:f>
              </x14:cfvo>
              <x14:negativeFillColor rgb="FF70AD47"/>
              <x14:axisColor rgb="FF000000"/>
            </x14:dataBar>
          </x14:cfRule>
          <xm:sqref>I39:I100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25</v>
      </c>
    </row>
    <row r="2" customFormat="false" ht="15" hidden="false" customHeight="false" outlineLevel="0" collapsed="false">
      <c r="A2" s="2" t="s">
        <v>123</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47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57</v>
      </c>
      <c r="B6" s="24"/>
      <c r="C6" s="24"/>
      <c r="D6" s="24"/>
      <c r="E6" s="24"/>
      <c r="F6" s="24"/>
      <c r="G6" s="24"/>
      <c r="H6" s="24"/>
    </row>
    <row r="7" customFormat="false" ht="43.5" hidden="false" customHeight="true" outlineLevel="0" collapsed="false">
      <c r="A7" s="25" t="s">
        <v>132</v>
      </c>
      <c r="B7" s="25" t="s">
        <v>57</v>
      </c>
      <c r="C7" s="17" t="s">
        <v>133</v>
      </c>
      <c r="D7" s="14" t="s">
        <v>126</v>
      </c>
      <c r="E7" s="26" t="s">
        <v>15</v>
      </c>
      <c r="F7" s="27"/>
      <c r="G7" s="27"/>
      <c r="H7" s="28"/>
    </row>
    <row r="8" customFormat="false" ht="43.5" hidden="false" customHeight="true" outlineLevel="0" collapsed="false">
      <c r="A8" s="25" t="s">
        <v>134</v>
      </c>
      <c r="B8" s="25" t="s">
        <v>57</v>
      </c>
      <c r="C8" s="17" t="s">
        <v>135</v>
      </c>
      <c r="D8" s="14" t="s">
        <v>126</v>
      </c>
      <c r="E8" s="26" t="s">
        <v>15</v>
      </c>
      <c r="F8" s="27"/>
      <c r="G8" s="27"/>
      <c r="H8" s="28"/>
    </row>
    <row r="9" customFormat="false" ht="30.75" hidden="false" customHeight="true" outlineLevel="0" collapsed="false">
      <c r="A9" s="25" t="s">
        <v>136</v>
      </c>
      <c r="B9" s="25" t="s">
        <v>57</v>
      </c>
      <c r="C9" s="17" t="s">
        <v>137</v>
      </c>
      <c r="D9" s="14" t="s">
        <v>126</v>
      </c>
      <c r="E9" s="26" t="s">
        <v>15</v>
      </c>
      <c r="F9" s="27"/>
      <c r="G9" s="27"/>
      <c r="H9" s="28"/>
    </row>
    <row r="10" customFormat="false" ht="30.75" hidden="false" customHeight="true" outlineLevel="0" collapsed="false">
      <c r="A10" s="25" t="s">
        <v>138</v>
      </c>
      <c r="B10" s="25" t="s">
        <v>57</v>
      </c>
      <c r="C10" s="17" t="s">
        <v>139</v>
      </c>
      <c r="D10" s="14" t="s">
        <v>126</v>
      </c>
      <c r="E10" s="26" t="s">
        <v>15</v>
      </c>
      <c r="F10" s="27"/>
      <c r="G10" s="27"/>
      <c r="H10" s="28"/>
    </row>
    <row r="11" customFormat="false" ht="30.75" hidden="false" customHeight="true" outlineLevel="0" collapsed="false">
      <c r="A11" s="25" t="s">
        <v>140</v>
      </c>
      <c r="B11" s="25" t="s">
        <v>57</v>
      </c>
      <c r="C11" s="17" t="s">
        <v>141</v>
      </c>
      <c r="D11" s="14" t="s">
        <v>126</v>
      </c>
      <c r="E11" s="26" t="s">
        <v>15</v>
      </c>
      <c r="F11" s="27"/>
      <c r="G11" s="27"/>
      <c r="H11" s="28"/>
    </row>
    <row r="12" customFormat="false" ht="21.75" hidden="false" customHeight="true" outlineLevel="0" collapsed="false">
      <c r="A12" s="23" t="s">
        <v>58</v>
      </c>
      <c r="B12" s="24"/>
      <c r="C12" s="24"/>
      <c r="D12" s="24"/>
      <c r="E12" s="24"/>
      <c r="F12" s="24"/>
      <c r="G12" s="24"/>
      <c r="H12" s="24"/>
    </row>
    <row r="13" customFormat="false" ht="43.5" hidden="false" customHeight="true" outlineLevel="0" collapsed="false">
      <c r="A13" s="25" t="s">
        <v>142</v>
      </c>
      <c r="B13" s="25" t="s">
        <v>58</v>
      </c>
      <c r="C13" s="17" t="s">
        <v>143</v>
      </c>
      <c r="D13" s="14" t="s">
        <v>126</v>
      </c>
      <c r="E13" s="26" t="s">
        <v>15</v>
      </c>
      <c r="F13" s="27"/>
      <c r="G13" s="27"/>
      <c r="H13" s="28"/>
    </row>
    <row r="14" customFormat="false" ht="30.75" hidden="false" customHeight="true" outlineLevel="0" collapsed="false">
      <c r="A14" s="25" t="s">
        <v>144</v>
      </c>
      <c r="B14" s="25" t="s">
        <v>58</v>
      </c>
      <c r="C14" s="17" t="s">
        <v>145</v>
      </c>
      <c r="D14" s="14" t="s">
        <v>126</v>
      </c>
      <c r="E14" s="26" t="s">
        <v>15</v>
      </c>
      <c r="F14" s="27"/>
      <c r="G14" s="27"/>
      <c r="H14" s="28"/>
    </row>
    <row r="15" customFormat="false" ht="18" hidden="false" customHeight="true" outlineLevel="0" collapsed="false">
      <c r="A15" s="25" t="s">
        <v>146</v>
      </c>
      <c r="B15" s="25" t="s">
        <v>58</v>
      </c>
      <c r="C15" s="17" t="s">
        <v>147</v>
      </c>
      <c r="D15" s="14" t="s">
        <v>126</v>
      </c>
      <c r="E15" s="26" t="s">
        <v>15</v>
      </c>
      <c r="F15" s="27"/>
      <c r="G15" s="27"/>
      <c r="H15" s="28"/>
    </row>
    <row r="16" customFormat="false" ht="30.75" hidden="false" customHeight="true" outlineLevel="0" collapsed="false">
      <c r="A16" s="25" t="s">
        <v>148</v>
      </c>
      <c r="B16" s="25" t="s">
        <v>58</v>
      </c>
      <c r="C16" s="17" t="s">
        <v>149</v>
      </c>
      <c r="D16" s="14" t="s">
        <v>126</v>
      </c>
      <c r="E16" s="26" t="s">
        <v>15</v>
      </c>
      <c r="F16" s="27"/>
      <c r="G16" s="27"/>
      <c r="H16" s="28"/>
    </row>
    <row r="17" customFormat="false" ht="18" hidden="false" customHeight="true" outlineLevel="0" collapsed="false">
      <c r="A17" s="25" t="s">
        <v>150</v>
      </c>
      <c r="B17" s="25" t="s">
        <v>58</v>
      </c>
      <c r="C17" s="17" t="s">
        <v>151</v>
      </c>
      <c r="D17" s="14" t="s">
        <v>126</v>
      </c>
      <c r="E17" s="26" t="s">
        <v>15</v>
      </c>
      <c r="F17" s="27"/>
      <c r="G17" s="27"/>
      <c r="H17" s="28"/>
    </row>
    <row r="18" customFormat="false" ht="30.75" hidden="false" customHeight="true" outlineLevel="0" collapsed="false">
      <c r="A18" s="25" t="s">
        <v>152</v>
      </c>
      <c r="B18" s="25" t="s">
        <v>58</v>
      </c>
      <c r="C18" s="17" t="s">
        <v>153</v>
      </c>
      <c r="D18" s="14" t="s">
        <v>126</v>
      </c>
      <c r="E18" s="26" t="s">
        <v>15</v>
      </c>
      <c r="F18" s="27"/>
      <c r="G18" s="27"/>
      <c r="H18" s="28"/>
    </row>
    <row r="19" customFormat="false" ht="30.75" hidden="false" customHeight="true" outlineLevel="0" collapsed="false">
      <c r="A19" s="25" t="s">
        <v>154</v>
      </c>
      <c r="B19" s="25" t="s">
        <v>58</v>
      </c>
      <c r="C19" s="17" t="s">
        <v>155</v>
      </c>
      <c r="D19" s="14" t="s">
        <v>126</v>
      </c>
      <c r="E19" s="26" t="s">
        <v>15</v>
      </c>
      <c r="F19" s="27"/>
      <c r="G19" s="27"/>
      <c r="H19" s="28"/>
    </row>
    <row r="20" customFormat="false" ht="30.75" hidden="false" customHeight="true" outlineLevel="0" collapsed="false">
      <c r="A20" s="25" t="s">
        <v>156</v>
      </c>
      <c r="B20" s="25" t="s">
        <v>58</v>
      </c>
      <c r="C20" s="17" t="s">
        <v>157</v>
      </c>
      <c r="D20" s="14" t="s">
        <v>126</v>
      </c>
      <c r="E20" s="26" t="s">
        <v>15</v>
      </c>
      <c r="F20" s="27"/>
      <c r="G20" s="27"/>
      <c r="H20" s="28"/>
    </row>
    <row r="21" customFormat="false" ht="18" hidden="false" customHeight="true" outlineLevel="0" collapsed="false">
      <c r="A21" s="25" t="s">
        <v>158</v>
      </c>
      <c r="B21" s="25" t="s">
        <v>58</v>
      </c>
      <c r="C21" s="17" t="s">
        <v>159</v>
      </c>
      <c r="D21" s="14" t="s">
        <v>126</v>
      </c>
      <c r="E21" s="26" t="s">
        <v>15</v>
      </c>
      <c r="F21" s="27"/>
      <c r="G21" s="27"/>
      <c r="H21" s="28"/>
    </row>
    <row r="22" customFormat="false" ht="30.75" hidden="false" customHeight="true" outlineLevel="0" collapsed="false">
      <c r="A22" s="25" t="s">
        <v>160</v>
      </c>
      <c r="B22" s="25" t="s">
        <v>58</v>
      </c>
      <c r="C22" s="17" t="s">
        <v>161</v>
      </c>
      <c r="D22" s="14" t="s">
        <v>126</v>
      </c>
      <c r="E22" s="26" t="s">
        <v>15</v>
      </c>
      <c r="F22" s="27"/>
      <c r="G22" s="27"/>
      <c r="H22" s="28"/>
    </row>
    <row r="23" customFormat="false" ht="21.75" hidden="false" customHeight="true" outlineLevel="0" collapsed="false">
      <c r="A23" s="23" t="s">
        <v>59</v>
      </c>
      <c r="B23" s="24"/>
      <c r="C23" s="24"/>
      <c r="D23" s="24"/>
      <c r="E23" s="24"/>
      <c r="F23" s="24"/>
      <c r="G23" s="24"/>
      <c r="H23" s="24"/>
    </row>
    <row r="24" customFormat="false" ht="18" hidden="false" customHeight="true" outlineLevel="0" collapsed="false">
      <c r="A24" s="25" t="s">
        <v>162</v>
      </c>
      <c r="B24" s="25" t="s">
        <v>59</v>
      </c>
      <c r="C24" s="17" t="s">
        <v>163</v>
      </c>
      <c r="D24" s="29" t="s">
        <v>164</v>
      </c>
      <c r="E24" s="26" t="s">
        <v>15</v>
      </c>
      <c r="F24" s="27"/>
      <c r="G24" s="27"/>
      <c r="H24" s="28"/>
    </row>
    <row r="25" customFormat="false" ht="18" hidden="false" customHeight="true" outlineLevel="0" collapsed="false">
      <c r="A25" s="25" t="s">
        <v>165</v>
      </c>
      <c r="B25" s="25" t="s">
        <v>59</v>
      </c>
      <c r="C25" s="17" t="s">
        <v>166</v>
      </c>
      <c r="D25" s="29" t="s">
        <v>164</v>
      </c>
      <c r="E25" s="26" t="s">
        <v>15</v>
      </c>
      <c r="F25" s="27"/>
      <c r="G25" s="27"/>
      <c r="H25" s="28"/>
    </row>
    <row r="26" customFormat="false" ht="18" hidden="false" customHeight="true" outlineLevel="0" collapsed="false">
      <c r="A26" s="25" t="s">
        <v>167</v>
      </c>
      <c r="B26" s="25" t="s">
        <v>59</v>
      </c>
      <c r="C26" s="17" t="s">
        <v>168</v>
      </c>
      <c r="D26" s="29" t="s">
        <v>164</v>
      </c>
      <c r="E26" s="26" t="s">
        <v>15</v>
      </c>
      <c r="F26" s="27"/>
      <c r="G26" s="27"/>
      <c r="H26" s="28"/>
    </row>
    <row r="27" customFormat="false" ht="18" hidden="false" customHeight="true" outlineLevel="0" collapsed="false">
      <c r="A27" s="25" t="s">
        <v>169</v>
      </c>
      <c r="B27" s="25" t="s">
        <v>59</v>
      </c>
      <c r="C27" s="17" t="s">
        <v>170</v>
      </c>
      <c r="D27" s="29" t="s">
        <v>164</v>
      </c>
      <c r="E27" s="26" t="s">
        <v>15</v>
      </c>
      <c r="F27" s="27"/>
      <c r="G27" s="27"/>
      <c r="H27" s="28"/>
    </row>
    <row r="28" customFormat="false" ht="18" hidden="false" customHeight="true" outlineLevel="0" collapsed="false">
      <c r="A28" s="25" t="s">
        <v>171</v>
      </c>
      <c r="B28" s="25" t="s">
        <v>59</v>
      </c>
      <c r="C28" s="17" t="s">
        <v>172</v>
      </c>
      <c r="D28" s="29" t="s">
        <v>164</v>
      </c>
      <c r="E28" s="26" t="s">
        <v>15</v>
      </c>
      <c r="F28" s="27"/>
      <c r="G28" s="27"/>
      <c r="H28" s="28"/>
    </row>
    <row r="29" customFormat="false" ht="18" hidden="false" customHeight="true" outlineLevel="0" collapsed="false">
      <c r="A29" s="25" t="s">
        <v>173</v>
      </c>
      <c r="B29" s="25" t="s">
        <v>59</v>
      </c>
      <c r="C29" s="17" t="s">
        <v>174</v>
      </c>
      <c r="D29" s="29" t="s">
        <v>164</v>
      </c>
      <c r="E29" s="26" t="s">
        <v>15</v>
      </c>
      <c r="F29" s="27"/>
      <c r="G29" s="27"/>
      <c r="H29" s="28"/>
    </row>
    <row r="30" customFormat="false" ht="18" hidden="false" customHeight="true" outlineLevel="0" collapsed="false">
      <c r="A30" s="25" t="s">
        <v>175</v>
      </c>
      <c r="B30" s="25" t="s">
        <v>59</v>
      </c>
      <c r="C30" s="17" t="s">
        <v>176</v>
      </c>
      <c r="D30" s="29" t="s">
        <v>164</v>
      </c>
      <c r="E30" s="26" t="s">
        <v>15</v>
      </c>
      <c r="F30" s="27"/>
      <c r="G30" s="27"/>
      <c r="H30" s="28"/>
    </row>
    <row r="31" customFormat="false" ht="18" hidden="false" customHeight="true" outlineLevel="0" collapsed="false">
      <c r="A31" s="25" t="s">
        <v>177</v>
      </c>
      <c r="B31" s="25" t="s">
        <v>59</v>
      </c>
      <c r="C31" s="12" t="s">
        <v>178</v>
      </c>
      <c r="D31" s="19" t="s">
        <v>179</v>
      </c>
      <c r="E31" s="26" t="s">
        <v>15</v>
      </c>
      <c r="F31" s="27"/>
      <c r="G31" s="27"/>
      <c r="H31" s="28"/>
    </row>
    <row r="32" customFormat="false" ht="21.75" hidden="false" customHeight="true" outlineLevel="0" collapsed="false">
      <c r="A32" s="23" t="s">
        <v>60</v>
      </c>
      <c r="B32" s="24"/>
      <c r="C32" s="24"/>
      <c r="D32" s="24"/>
      <c r="E32" s="24"/>
      <c r="F32" s="24"/>
      <c r="G32" s="24"/>
      <c r="H32" s="24"/>
    </row>
    <row r="33" customFormat="false" ht="30.75" hidden="false" customHeight="true" outlineLevel="0" collapsed="false">
      <c r="A33" s="25" t="s">
        <v>180</v>
      </c>
      <c r="B33" s="25" t="s">
        <v>60</v>
      </c>
      <c r="C33" s="17" t="s">
        <v>181</v>
      </c>
      <c r="D33" s="14" t="s">
        <v>126</v>
      </c>
      <c r="E33" s="26" t="s">
        <v>15</v>
      </c>
      <c r="F33" s="27"/>
      <c r="G33" s="27"/>
      <c r="H33" s="28"/>
    </row>
    <row r="34" customFormat="false" ht="30.75" hidden="false" customHeight="true" outlineLevel="0" collapsed="false">
      <c r="A34" s="25" t="s">
        <v>182</v>
      </c>
      <c r="B34" s="25" t="s">
        <v>60</v>
      </c>
      <c r="C34" s="17" t="s">
        <v>183</v>
      </c>
      <c r="D34" s="14" t="s">
        <v>126</v>
      </c>
      <c r="E34" s="26" t="s">
        <v>15</v>
      </c>
      <c r="F34" s="27"/>
      <c r="G34" s="27"/>
      <c r="H34" s="28"/>
    </row>
    <row r="35" customFormat="false" ht="18" hidden="false" customHeight="true" outlineLevel="0" collapsed="false">
      <c r="A35" s="25" t="s">
        <v>184</v>
      </c>
      <c r="B35" s="25" t="s">
        <v>60</v>
      </c>
      <c r="C35" s="17" t="s">
        <v>185</v>
      </c>
      <c r="D35" s="14" t="s">
        <v>126</v>
      </c>
      <c r="E35" s="26" t="s">
        <v>15</v>
      </c>
      <c r="F35" s="27"/>
      <c r="G35" s="27"/>
      <c r="H35" s="28"/>
    </row>
    <row r="36" customFormat="false" ht="18" hidden="false" customHeight="true" outlineLevel="0" collapsed="false">
      <c r="A36" s="25" t="s">
        <v>186</v>
      </c>
      <c r="B36" s="25" t="s">
        <v>60</v>
      </c>
      <c r="C36" s="17" t="s">
        <v>187</v>
      </c>
      <c r="D36" s="14" t="s">
        <v>126</v>
      </c>
      <c r="E36" s="26" t="s">
        <v>15</v>
      </c>
      <c r="F36" s="27"/>
      <c r="G36" s="27"/>
      <c r="H36" s="28"/>
    </row>
    <row r="37" customFormat="false" ht="18" hidden="false" customHeight="true" outlineLevel="0" collapsed="false">
      <c r="A37" s="25" t="s">
        <v>188</v>
      </c>
      <c r="B37" s="25" t="s">
        <v>60</v>
      </c>
      <c r="C37" s="17" t="s">
        <v>189</v>
      </c>
      <c r="D37" s="14" t="s">
        <v>126</v>
      </c>
      <c r="E37" s="26" t="s">
        <v>15</v>
      </c>
      <c r="F37" s="27"/>
      <c r="G37" s="27"/>
      <c r="H37" s="28"/>
    </row>
    <row r="38" customFormat="false" ht="18" hidden="false" customHeight="true" outlineLevel="0" collapsed="false">
      <c r="A38" s="25" t="s">
        <v>190</v>
      </c>
      <c r="B38" s="25" t="s">
        <v>60</v>
      </c>
      <c r="C38" s="12" t="s">
        <v>191</v>
      </c>
      <c r="D38" s="19" t="s">
        <v>179</v>
      </c>
      <c r="E38" s="26" t="s">
        <v>15</v>
      </c>
      <c r="F38" s="27"/>
      <c r="G38" s="27"/>
      <c r="H38" s="28"/>
    </row>
    <row r="39" customFormat="false" ht="21.75" hidden="false" customHeight="true" outlineLevel="0" collapsed="false">
      <c r="A39" s="23" t="s">
        <v>61</v>
      </c>
      <c r="B39" s="24"/>
      <c r="C39" s="24"/>
      <c r="D39" s="24"/>
      <c r="E39" s="24"/>
      <c r="F39" s="24"/>
      <c r="G39" s="24"/>
      <c r="H39" s="24"/>
    </row>
    <row r="40" customFormat="false" ht="30.75" hidden="false" customHeight="true" outlineLevel="0" collapsed="false">
      <c r="A40" s="25" t="s">
        <v>192</v>
      </c>
      <c r="B40" s="25" t="s">
        <v>61</v>
      </c>
      <c r="C40" s="17" t="s">
        <v>193</v>
      </c>
      <c r="D40" s="14" t="s">
        <v>126</v>
      </c>
      <c r="E40" s="26" t="s">
        <v>15</v>
      </c>
      <c r="F40" s="27"/>
      <c r="G40" s="27"/>
      <c r="H40" s="28"/>
    </row>
    <row r="41" customFormat="false" ht="30.75" hidden="false" customHeight="true" outlineLevel="0" collapsed="false">
      <c r="A41" s="25" t="s">
        <v>194</v>
      </c>
      <c r="B41" s="25" t="s">
        <v>61</v>
      </c>
      <c r="C41" s="17" t="s">
        <v>195</v>
      </c>
      <c r="D41" s="14" t="s">
        <v>126</v>
      </c>
      <c r="E41" s="26" t="s">
        <v>15</v>
      </c>
      <c r="F41" s="27"/>
      <c r="G41" s="27"/>
      <c r="H41" s="28"/>
    </row>
    <row r="42" customFormat="false" ht="18" hidden="false" customHeight="true" outlineLevel="0" collapsed="false">
      <c r="A42" s="25" t="s">
        <v>196</v>
      </c>
      <c r="B42" s="25" t="s">
        <v>61</v>
      </c>
      <c r="C42" s="17" t="s">
        <v>197</v>
      </c>
      <c r="D42" s="14" t="s">
        <v>126</v>
      </c>
      <c r="E42" s="26" t="s">
        <v>15</v>
      </c>
      <c r="F42" s="27"/>
      <c r="G42" s="27"/>
      <c r="H42" s="28"/>
    </row>
    <row r="43" customFormat="false" ht="18" hidden="false" customHeight="true" outlineLevel="0" collapsed="false">
      <c r="A43" s="25" t="s">
        <v>198</v>
      </c>
      <c r="B43" s="25" t="s">
        <v>61</v>
      </c>
      <c r="C43" s="17" t="s">
        <v>199</v>
      </c>
      <c r="D43" s="14" t="s">
        <v>126</v>
      </c>
      <c r="E43" s="26" t="s">
        <v>15</v>
      </c>
      <c r="F43" s="27"/>
      <c r="G43" s="27"/>
      <c r="H43" s="28"/>
    </row>
    <row r="44" customFormat="false" ht="30.75" hidden="false" customHeight="true" outlineLevel="0" collapsed="false">
      <c r="A44" s="25" t="s">
        <v>200</v>
      </c>
      <c r="B44" s="25" t="s">
        <v>61</v>
      </c>
      <c r="C44" s="17" t="s">
        <v>201</v>
      </c>
      <c r="D44" s="14" t="s">
        <v>126</v>
      </c>
      <c r="E44" s="26" t="s">
        <v>15</v>
      </c>
      <c r="F44" s="27"/>
      <c r="G44" s="27"/>
      <c r="H44" s="28"/>
    </row>
    <row r="45" customFormat="false" ht="18" hidden="false" customHeight="true" outlineLevel="0" collapsed="false">
      <c r="A45" s="25" t="s">
        <v>202</v>
      </c>
      <c r="B45" s="25" t="s">
        <v>61</v>
      </c>
      <c r="C45" s="17" t="s">
        <v>203</v>
      </c>
      <c r="D45" s="14" t="s">
        <v>126</v>
      </c>
      <c r="E45" s="26" t="s">
        <v>15</v>
      </c>
      <c r="F45" s="27"/>
      <c r="G45" s="27"/>
      <c r="H45" s="28"/>
    </row>
    <row r="46" customFormat="false" ht="30.75" hidden="false" customHeight="true" outlineLevel="0" collapsed="false">
      <c r="A46" s="25" t="s">
        <v>204</v>
      </c>
      <c r="B46" s="25" t="s">
        <v>61</v>
      </c>
      <c r="C46" s="17" t="s">
        <v>205</v>
      </c>
      <c r="D46" s="14" t="s">
        <v>126</v>
      </c>
      <c r="E46" s="26" t="s">
        <v>15</v>
      </c>
      <c r="F46" s="27"/>
      <c r="G46" s="27"/>
      <c r="H46" s="28"/>
    </row>
    <row r="47" customFormat="false" ht="18" hidden="false" customHeight="true" outlineLevel="0" collapsed="false">
      <c r="A47" s="25" t="s">
        <v>206</v>
      </c>
      <c r="B47" s="25" t="s">
        <v>61</v>
      </c>
      <c r="C47" s="17" t="s">
        <v>207</v>
      </c>
      <c r="D47" s="14" t="s">
        <v>126</v>
      </c>
      <c r="E47" s="26" t="s">
        <v>15</v>
      </c>
      <c r="F47" s="27"/>
      <c r="G47" s="27"/>
      <c r="H47" s="28"/>
    </row>
    <row r="48" customFormat="false" ht="18" hidden="false" customHeight="true" outlineLevel="0" collapsed="false">
      <c r="A48" s="25" t="s">
        <v>208</v>
      </c>
      <c r="B48" s="25" t="s">
        <v>61</v>
      </c>
      <c r="C48" s="17" t="s">
        <v>209</v>
      </c>
      <c r="D48" s="14" t="s">
        <v>126</v>
      </c>
      <c r="E48" s="26" t="s">
        <v>15</v>
      </c>
      <c r="F48" s="27"/>
      <c r="G48" s="27"/>
      <c r="H48" s="28"/>
    </row>
    <row r="49" customFormat="false" ht="18" hidden="false" customHeight="true" outlineLevel="0" collapsed="false">
      <c r="A49" s="25" t="s">
        <v>210</v>
      </c>
      <c r="B49" s="25" t="s">
        <v>61</v>
      </c>
      <c r="C49" s="17" t="s">
        <v>211</v>
      </c>
      <c r="D49" s="14" t="s">
        <v>126</v>
      </c>
      <c r="E49" s="26" t="s">
        <v>15</v>
      </c>
      <c r="F49" s="27"/>
      <c r="G49" s="27"/>
      <c r="H49" s="28"/>
    </row>
    <row r="50" customFormat="false" ht="18" hidden="false" customHeight="true" outlineLevel="0" collapsed="false">
      <c r="A50" s="25" t="s">
        <v>212</v>
      </c>
      <c r="B50" s="25" t="s">
        <v>61</v>
      </c>
      <c r="C50" s="17" t="s">
        <v>213</v>
      </c>
      <c r="D50" s="14" t="s">
        <v>126</v>
      </c>
      <c r="E50" s="26" t="s">
        <v>15</v>
      </c>
      <c r="F50" s="27"/>
      <c r="G50" s="27"/>
      <c r="H50" s="28"/>
    </row>
    <row r="51" customFormat="false" ht="18" hidden="false" customHeight="true" outlineLevel="0" collapsed="false">
      <c r="A51" s="25" t="s">
        <v>214</v>
      </c>
      <c r="B51" s="25" t="s">
        <v>61</v>
      </c>
      <c r="C51" s="17" t="s">
        <v>215</v>
      </c>
      <c r="D51" s="14" t="s">
        <v>126</v>
      </c>
      <c r="E51" s="26" t="s">
        <v>15</v>
      </c>
      <c r="F51" s="27"/>
      <c r="G51" s="27"/>
      <c r="H51" s="28"/>
    </row>
    <row r="52" customFormat="false" ht="21.75" hidden="false" customHeight="true" outlineLevel="0" collapsed="false">
      <c r="A52" s="23" t="s">
        <v>62</v>
      </c>
      <c r="B52" s="24"/>
      <c r="C52" s="24"/>
      <c r="D52" s="24"/>
      <c r="E52" s="24"/>
      <c r="F52" s="24"/>
      <c r="G52" s="24"/>
      <c r="H52" s="24"/>
    </row>
    <row r="53" customFormat="false" ht="30.75" hidden="false" customHeight="true" outlineLevel="0" collapsed="false">
      <c r="A53" s="25" t="s">
        <v>216</v>
      </c>
      <c r="B53" s="25" t="s">
        <v>62</v>
      </c>
      <c r="C53" s="17" t="s">
        <v>217</v>
      </c>
      <c r="D53" s="14" t="s">
        <v>126</v>
      </c>
      <c r="E53" s="26" t="s">
        <v>15</v>
      </c>
      <c r="F53" s="27"/>
      <c r="G53" s="27"/>
      <c r="H53" s="28"/>
    </row>
    <row r="54" customFormat="false" ht="18" hidden="false" customHeight="true" outlineLevel="0" collapsed="false">
      <c r="A54" s="25" t="s">
        <v>218</v>
      </c>
      <c r="B54" s="25" t="s">
        <v>62</v>
      </c>
      <c r="C54" s="17" t="s">
        <v>219</v>
      </c>
      <c r="D54" s="14" t="s">
        <v>126</v>
      </c>
      <c r="E54" s="26" t="s">
        <v>15</v>
      </c>
      <c r="F54" s="27"/>
      <c r="G54" s="27"/>
      <c r="H54" s="28"/>
    </row>
    <row r="55" customFormat="false" ht="30.75" hidden="false" customHeight="true" outlineLevel="0" collapsed="false">
      <c r="A55" s="25" t="s">
        <v>220</v>
      </c>
      <c r="B55" s="25" t="s">
        <v>62</v>
      </c>
      <c r="C55" s="17" t="s">
        <v>221</v>
      </c>
      <c r="D55" s="14" t="s">
        <v>126</v>
      </c>
      <c r="E55" s="26" t="s">
        <v>15</v>
      </c>
      <c r="F55" s="27"/>
      <c r="G55" s="27"/>
      <c r="H55" s="28"/>
    </row>
    <row r="56" customFormat="false" ht="18" hidden="false" customHeight="true" outlineLevel="0" collapsed="false">
      <c r="A56" s="25" t="s">
        <v>222</v>
      </c>
      <c r="B56" s="25" t="s">
        <v>62</v>
      </c>
      <c r="C56" s="17" t="s">
        <v>223</v>
      </c>
      <c r="D56" s="14" t="s">
        <v>126</v>
      </c>
      <c r="E56" s="26" t="s">
        <v>15</v>
      </c>
      <c r="F56" s="27"/>
      <c r="G56" s="27"/>
      <c r="H56" s="28"/>
    </row>
    <row r="57" customFormat="false" ht="30.75" hidden="false" customHeight="true" outlineLevel="0" collapsed="false">
      <c r="A57" s="25" t="s">
        <v>224</v>
      </c>
      <c r="B57" s="25" t="s">
        <v>62</v>
      </c>
      <c r="C57" s="17" t="s">
        <v>225</v>
      </c>
      <c r="D57" s="14" t="s">
        <v>126</v>
      </c>
      <c r="E57" s="26" t="s">
        <v>15</v>
      </c>
      <c r="F57" s="27"/>
      <c r="G57" s="27"/>
      <c r="H57" s="28"/>
    </row>
    <row r="58" customFormat="false" ht="30.75" hidden="false" customHeight="true" outlineLevel="0" collapsed="false">
      <c r="A58" s="25" t="s">
        <v>226</v>
      </c>
      <c r="B58" s="25" t="s">
        <v>62</v>
      </c>
      <c r="C58" s="12" t="s">
        <v>227</v>
      </c>
      <c r="D58" s="19" t="s">
        <v>179</v>
      </c>
      <c r="E58" s="26" t="s">
        <v>15</v>
      </c>
      <c r="F58" s="27"/>
      <c r="G58" s="27"/>
      <c r="H58" s="28"/>
    </row>
  </sheetData>
  <autoFilter ref="A5:H58"/>
  <conditionalFormatting sqref="B3">
    <cfRule type="dataBar" priority="2">
      <dataBar showValue="1" minLength="10" maxLength="90">
        <cfvo type="num" val="0"/>
        <cfvo type="num" val="1"/>
        <color rgb="FF70AD47"/>
      </dataBar>
      <extLst>
        <ext xmlns:x14="http://schemas.microsoft.com/office/spreadsheetml/2009/9/main" uri="{B025F937-C7B1-47D3-B67F-A62EFF666E3E}">
          <x14:id>{5BB3B42D-11E5-453B-ABE2-98F939AC9DEA}</x14:id>
        </ext>
      </extLst>
    </cfRule>
  </conditionalFormatting>
  <conditionalFormatting sqref="E6:E58">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58">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11 E13:E22 E24:E31 E33:E38 E40:E51 E53:E58"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BB3B42D-11E5-453B-ABE2-98F939AC9DEA}">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28</v>
      </c>
    </row>
    <row r="2" customFormat="false" ht="15" hidden="false" customHeight="false" outlineLevel="0" collapsed="false">
      <c r="A2" s="2" t="s">
        <v>228</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113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64</v>
      </c>
      <c r="B6" s="24"/>
      <c r="C6" s="24"/>
      <c r="D6" s="24"/>
      <c r="E6" s="24"/>
      <c r="F6" s="24"/>
      <c r="G6" s="24"/>
      <c r="H6" s="24"/>
    </row>
    <row r="7" customFormat="false" ht="30.75" hidden="false" customHeight="true" outlineLevel="0" collapsed="false">
      <c r="A7" s="25" t="s">
        <v>229</v>
      </c>
      <c r="B7" s="25" t="s">
        <v>64</v>
      </c>
      <c r="C7" s="17" t="s">
        <v>230</v>
      </c>
      <c r="D7" s="14" t="s">
        <v>126</v>
      </c>
      <c r="E7" s="26" t="s">
        <v>15</v>
      </c>
      <c r="F7" s="27"/>
      <c r="G7" s="27"/>
      <c r="H7" s="28"/>
    </row>
    <row r="8" customFormat="false" ht="30.75" hidden="false" customHeight="true" outlineLevel="0" collapsed="false">
      <c r="A8" s="25" t="s">
        <v>231</v>
      </c>
      <c r="B8" s="25" t="s">
        <v>64</v>
      </c>
      <c r="C8" s="17" t="s">
        <v>232</v>
      </c>
      <c r="D8" s="14" t="s">
        <v>126</v>
      </c>
      <c r="E8" s="26" t="s">
        <v>15</v>
      </c>
      <c r="F8" s="27"/>
      <c r="G8" s="27"/>
      <c r="H8" s="28"/>
    </row>
    <row r="9" customFormat="false" ht="30.75" hidden="false" customHeight="true" outlineLevel="0" collapsed="false">
      <c r="A9" s="25" t="s">
        <v>233</v>
      </c>
      <c r="B9" s="25" t="s">
        <v>64</v>
      </c>
      <c r="C9" s="17" t="s">
        <v>234</v>
      </c>
      <c r="D9" s="14" t="s">
        <v>126</v>
      </c>
      <c r="E9" s="26" t="s">
        <v>15</v>
      </c>
      <c r="F9" s="27"/>
      <c r="G9" s="27"/>
      <c r="H9" s="28"/>
    </row>
    <row r="10" customFormat="false" ht="18" hidden="false" customHeight="true" outlineLevel="0" collapsed="false">
      <c r="A10" s="25" t="s">
        <v>235</v>
      </c>
      <c r="B10" s="25" t="s">
        <v>64</v>
      </c>
      <c r="C10" s="17" t="s">
        <v>236</v>
      </c>
      <c r="D10" s="14" t="s">
        <v>126</v>
      </c>
      <c r="E10" s="26" t="s">
        <v>15</v>
      </c>
      <c r="F10" s="27"/>
      <c r="G10" s="27"/>
      <c r="H10" s="28"/>
    </row>
    <row r="11" customFormat="false" ht="30.75" hidden="false" customHeight="true" outlineLevel="0" collapsed="false">
      <c r="A11" s="25" t="s">
        <v>237</v>
      </c>
      <c r="B11" s="25" t="s">
        <v>64</v>
      </c>
      <c r="C11" s="17" t="s">
        <v>238</v>
      </c>
      <c r="D11" s="14" t="s">
        <v>126</v>
      </c>
      <c r="E11" s="26" t="s">
        <v>15</v>
      </c>
      <c r="F11" s="27"/>
      <c r="G11" s="27"/>
      <c r="H11" s="28"/>
    </row>
    <row r="12" customFormat="false" ht="43.5" hidden="false" customHeight="true" outlineLevel="0" collapsed="false">
      <c r="A12" s="25" t="s">
        <v>239</v>
      </c>
      <c r="B12" s="25" t="s">
        <v>64</v>
      </c>
      <c r="C12" s="17" t="s">
        <v>240</v>
      </c>
      <c r="D12" s="14" t="s">
        <v>126</v>
      </c>
      <c r="E12" s="26" t="s">
        <v>15</v>
      </c>
      <c r="F12" s="27"/>
      <c r="G12" s="27"/>
      <c r="H12" s="28"/>
    </row>
    <row r="13" customFormat="false" ht="30.75" hidden="false" customHeight="true" outlineLevel="0" collapsed="false">
      <c r="A13" s="25" t="s">
        <v>241</v>
      </c>
      <c r="B13" s="25" t="s">
        <v>64</v>
      </c>
      <c r="C13" s="17" t="s">
        <v>242</v>
      </c>
      <c r="D13" s="14" t="s">
        <v>126</v>
      </c>
      <c r="E13" s="26" t="s">
        <v>15</v>
      </c>
      <c r="F13" s="27"/>
      <c r="G13" s="27"/>
      <c r="H13" s="28"/>
    </row>
    <row r="14" customFormat="false" ht="43.5" hidden="false" customHeight="true" outlineLevel="0" collapsed="false">
      <c r="A14" s="25" t="s">
        <v>243</v>
      </c>
      <c r="B14" s="25" t="s">
        <v>64</v>
      </c>
      <c r="C14" s="17" t="s">
        <v>244</v>
      </c>
      <c r="D14" s="14" t="s">
        <v>126</v>
      </c>
      <c r="E14" s="26" t="s">
        <v>15</v>
      </c>
      <c r="F14" s="27"/>
      <c r="G14" s="27"/>
      <c r="H14" s="28"/>
    </row>
    <row r="15" customFormat="false" ht="18" hidden="false" customHeight="true" outlineLevel="0" collapsed="false">
      <c r="A15" s="25" t="s">
        <v>245</v>
      </c>
      <c r="B15" s="25" t="s">
        <v>64</v>
      </c>
      <c r="C15" s="17" t="s">
        <v>246</v>
      </c>
      <c r="D15" s="14" t="s">
        <v>126</v>
      </c>
      <c r="E15" s="26" t="s">
        <v>15</v>
      </c>
      <c r="F15" s="27"/>
      <c r="G15" s="27"/>
      <c r="H15" s="28"/>
    </row>
    <row r="16" customFormat="false" ht="30.75" hidden="false" customHeight="true" outlineLevel="0" collapsed="false">
      <c r="A16" s="25" t="s">
        <v>247</v>
      </c>
      <c r="B16" s="25" t="s">
        <v>64</v>
      </c>
      <c r="C16" s="17" t="s">
        <v>248</v>
      </c>
      <c r="D16" s="14" t="s">
        <v>126</v>
      </c>
      <c r="E16" s="26" t="s">
        <v>15</v>
      </c>
      <c r="F16" s="27"/>
      <c r="G16" s="27"/>
      <c r="H16" s="28"/>
    </row>
    <row r="17" customFormat="false" ht="30.75" hidden="false" customHeight="true" outlineLevel="0" collapsed="false">
      <c r="A17" s="25" t="s">
        <v>249</v>
      </c>
      <c r="B17" s="25" t="s">
        <v>64</v>
      </c>
      <c r="C17" s="17" t="s">
        <v>250</v>
      </c>
      <c r="D17" s="14" t="s">
        <v>126</v>
      </c>
      <c r="E17" s="26" t="s">
        <v>15</v>
      </c>
      <c r="F17" s="27"/>
      <c r="G17" s="27"/>
      <c r="H17" s="28"/>
    </row>
    <row r="18" customFormat="false" ht="30.75" hidden="false" customHeight="true" outlineLevel="0" collapsed="false">
      <c r="A18" s="25" t="s">
        <v>251</v>
      </c>
      <c r="B18" s="25" t="s">
        <v>64</v>
      </c>
      <c r="C18" s="17" t="s">
        <v>252</v>
      </c>
      <c r="D18" s="14" t="s">
        <v>126</v>
      </c>
      <c r="E18" s="26" t="s">
        <v>15</v>
      </c>
      <c r="F18" s="27"/>
      <c r="G18" s="27"/>
      <c r="H18" s="28"/>
    </row>
    <row r="19" customFormat="false" ht="18" hidden="false" customHeight="true" outlineLevel="0" collapsed="false">
      <c r="A19" s="25" t="s">
        <v>253</v>
      </c>
      <c r="B19" s="25" t="s">
        <v>64</v>
      </c>
      <c r="C19" s="17" t="s">
        <v>254</v>
      </c>
      <c r="D19" s="14" t="s">
        <v>126</v>
      </c>
      <c r="E19" s="26" t="s">
        <v>15</v>
      </c>
      <c r="F19" s="27"/>
      <c r="G19" s="27"/>
      <c r="H19" s="28"/>
    </row>
    <row r="20" customFormat="false" ht="30.75" hidden="false" customHeight="true" outlineLevel="0" collapsed="false">
      <c r="A20" s="25" t="s">
        <v>255</v>
      </c>
      <c r="B20" s="25" t="s">
        <v>64</v>
      </c>
      <c r="C20" s="17" t="s">
        <v>256</v>
      </c>
      <c r="D20" s="14" t="s">
        <v>126</v>
      </c>
      <c r="E20" s="26" t="s">
        <v>15</v>
      </c>
      <c r="F20" s="27"/>
      <c r="G20" s="27"/>
      <c r="H20" s="28"/>
    </row>
    <row r="21" customFormat="false" ht="18" hidden="false" customHeight="true" outlineLevel="0" collapsed="false">
      <c r="A21" s="25" t="s">
        <v>257</v>
      </c>
      <c r="B21" s="25" t="s">
        <v>64</v>
      </c>
      <c r="C21" s="17" t="s">
        <v>258</v>
      </c>
      <c r="D21" s="29" t="s">
        <v>164</v>
      </c>
      <c r="E21" s="26" t="s">
        <v>15</v>
      </c>
      <c r="F21" s="27"/>
      <c r="G21" s="27"/>
      <c r="H21" s="28"/>
    </row>
    <row r="22" customFormat="false" ht="18" hidden="false" customHeight="true" outlineLevel="0" collapsed="false">
      <c r="A22" s="25" t="s">
        <v>259</v>
      </c>
      <c r="B22" s="25" t="s">
        <v>64</v>
      </c>
      <c r="C22" s="17" t="s">
        <v>260</v>
      </c>
      <c r="D22" s="29" t="s">
        <v>164</v>
      </c>
      <c r="E22" s="26" t="s">
        <v>15</v>
      </c>
      <c r="F22" s="27"/>
      <c r="G22" s="27"/>
      <c r="H22" s="28"/>
    </row>
    <row r="23" customFormat="false" ht="18" hidden="false" customHeight="true" outlineLevel="0" collapsed="false">
      <c r="A23" s="25" t="s">
        <v>261</v>
      </c>
      <c r="B23" s="25" t="s">
        <v>64</v>
      </c>
      <c r="C23" s="17" t="s">
        <v>262</v>
      </c>
      <c r="D23" s="29" t="s">
        <v>164</v>
      </c>
      <c r="E23" s="26" t="s">
        <v>15</v>
      </c>
      <c r="F23" s="27"/>
      <c r="G23" s="27"/>
      <c r="H23" s="28"/>
    </row>
    <row r="24" customFormat="false" ht="18" hidden="false" customHeight="true" outlineLevel="0" collapsed="false">
      <c r="A24" s="25" t="s">
        <v>263</v>
      </c>
      <c r="B24" s="25" t="s">
        <v>64</v>
      </c>
      <c r="C24" s="17" t="s">
        <v>264</v>
      </c>
      <c r="D24" s="29" t="s">
        <v>164</v>
      </c>
      <c r="E24" s="26" t="s">
        <v>15</v>
      </c>
      <c r="F24" s="27"/>
      <c r="G24" s="27"/>
      <c r="H24" s="28"/>
    </row>
    <row r="25" customFormat="false" ht="30.75" hidden="false" customHeight="true" outlineLevel="0" collapsed="false">
      <c r="A25" s="25" t="s">
        <v>265</v>
      </c>
      <c r="B25" s="25" t="s">
        <v>64</v>
      </c>
      <c r="C25" s="12" t="s">
        <v>266</v>
      </c>
      <c r="D25" s="19" t="s">
        <v>179</v>
      </c>
      <c r="E25" s="26" t="s">
        <v>15</v>
      </c>
      <c r="F25" s="27"/>
      <c r="G25" s="27"/>
      <c r="H25" s="28"/>
    </row>
    <row r="26" customFormat="false" ht="21.75" hidden="false" customHeight="true" outlineLevel="0" collapsed="false">
      <c r="A26" s="23" t="s">
        <v>65</v>
      </c>
      <c r="B26" s="24"/>
      <c r="C26" s="24"/>
      <c r="D26" s="24"/>
      <c r="E26" s="24"/>
      <c r="F26" s="24"/>
      <c r="G26" s="24"/>
      <c r="H26" s="24"/>
    </row>
    <row r="27" customFormat="false" ht="30.75" hidden="false" customHeight="true" outlineLevel="0" collapsed="false">
      <c r="A27" s="25" t="s">
        <v>267</v>
      </c>
      <c r="B27" s="25" t="s">
        <v>65</v>
      </c>
      <c r="C27" s="17" t="s">
        <v>268</v>
      </c>
      <c r="D27" s="14" t="s">
        <v>126</v>
      </c>
      <c r="E27" s="26" t="s">
        <v>15</v>
      </c>
      <c r="F27" s="27"/>
      <c r="G27" s="27"/>
      <c r="H27" s="28"/>
    </row>
    <row r="28" customFormat="false" ht="30.75" hidden="false" customHeight="true" outlineLevel="0" collapsed="false">
      <c r="A28" s="25" t="s">
        <v>269</v>
      </c>
      <c r="B28" s="25" t="s">
        <v>65</v>
      </c>
      <c r="C28" s="17" t="s">
        <v>270</v>
      </c>
      <c r="D28" s="14" t="s">
        <v>126</v>
      </c>
      <c r="E28" s="26" t="s">
        <v>15</v>
      </c>
      <c r="F28" s="27"/>
      <c r="G28" s="27"/>
      <c r="H28" s="28"/>
    </row>
    <row r="29" customFormat="false" ht="30.75" hidden="false" customHeight="true" outlineLevel="0" collapsed="false">
      <c r="A29" s="25" t="s">
        <v>271</v>
      </c>
      <c r="B29" s="25" t="s">
        <v>65</v>
      </c>
      <c r="C29" s="17" t="s">
        <v>272</v>
      </c>
      <c r="D29" s="14" t="s">
        <v>126</v>
      </c>
      <c r="E29" s="26" t="s">
        <v>15</v>
      </c>
      <c r="F29" s="27"/>
      <c r="G29" s="27"/>
      <c r="H29" s="28"/>
    </row>
    <row r="30" customFormat="false" ht="18" hidden="false" customHeight="true" outlineLevel="0" collapsed="false">
      <c r="A30" s="25" t="s">
        <v>273</v>
      </c>
      <c r="B30" s="25" t="s">
        <v>65</v>
      </c>
      <c r="C30" s="17" t="s">
        <v>274</v>
      </c>
      <c r="D30" s="14" t="s">
        <v>126</v>
      </c>
      <c r="E30" s="26" t="s">
        <v>15</v>
      </c>
      <c r="F30" s="27"/>
      <c r="G30" s="27"/>
      <c r="H30" s="28"/>
    </row>
    <row r="31" customFormat="false" ht="30.75" hidden="false" customHeight="true" outlineLevel="0" collapsed="false">
      <c r="A31" s="25" t="s">
        <v>275</v>
      </c>
      <c r="B31" s="25" t="s">
        <v>65</v>
      </c>
      <c r="C31" s="17" t="s">
        <v>276</v>
      </c>
      <c r="D31" s="14" t="s">
        <v>126</v>
      </c>
      <c r="E31" s="26" t="s">
        <v>15</v>
      </c>
      <c r="F31" s="27"/>
      <c r="G31" s="27"/>
      <c r="H31" s="28"/>
    </row>
    <row r="32" customFormat="false" ht="18" hidden="false" customHeight="true" outlineLevel="0" collapsed="false">
      <c r="A32" s="25" t="s">
        <v>277</v>
      </c>
      <c r="B32" s="25" t="s">
        <v>65</v>
      </c>
      <c r="C32" s="17" t="s">
        <v>278</v>
      </c>
      <c r="D32" s="14" t="s">
        <v>126</v>
      </c>
      <c r="E32" s="26" t="s">
        <v>15</v>
      </c>
      <c r="F32" s="27"/>
      <c r="G32" s="27"/>
      <c r="H32" s="28"/>
    </row>
    <row r="33" customFormat="false" ht="18" hidden="false" customHeight="true" outlineLevel="0" collapsed="false">
      <c r="A33" s="25" t="s">
        <v>279</v>
      </c>
      <c r="B33" s="25" t="s">
        <v>65</v>
      </c>
      <c r="C33" s="17" t="s">
        <v>280</v>
      </c>
      <c r="D33" s="29" t="s">
        <v>164</v>
      </c>
      <c r="E33" s="26" t="s">
        <v>15</v>
      </c>
      <c r="F33" s="27"/>
      <c r="G33" s="27"/>
      <c r="H33" s="28"/>
    </row>
    <row r="34" customFormat="false" ht="18" hidden="false" customHeight="true" outlineLevel="0" collapsed="false">
      <c r="A34" s="25" t="s">
        <v>281</v>
      </c>
      <c r="B34" s="25" t="s">
        <v>65</v>
      </c>
      <c r="C34" s="17" t="s">
        <v>282</v>
      </c>
      <c r="D34" s="29" t="s">
        <v>164</v>
      </c>
      <c r="E34" s="26" t="s">
        <v>15</v>
      </c>
      <c r="F34" s="27"/>
      <c r="G34" s="27"/>
      <c r="H34" s="28"/>
    </row>
    <row r="35" customFormat="false" ht="18" hidden="false" customHeight="true" outlineLevel="0" collapsed="false">
      <c r="A35" s="25" t="s">
        <v>283</v>
      </c>
      <c r="B35" s="25" t="s">
        <v>65</v>
      </c>
      <c r="C35" s="17" t="s">
        <v>284</v>
      </c>
      <c r="D35" s="29" t="s">
        <v>164</v>
      </c>
      <c r="E35" s="26" t="s">
        <v>15</v>
      </c>
      <c r="F35" s="27"/>
      <c r="G35" s="27"/>
      <c r="H35" s="28"/>
    </row>
    <row r="36" customFormat="false" ht="18" hidden="false" customHeight="true" outlineLevel="0" collapsed="false">
      <c r="A36" s="25" t="s">
        <v>285</v>
      </c>
      <c r="B36" s="25" t="s">
        <v>65</v>
      </c>
      <c r="C36" s="17" t="s">
        <v>286</v>
      </c>
      <c r="D36" s="29" t="s">
        <v>164</v>
      </c>
      <c r="E36" s="26" t="s">
        <v>15</v>
      </c>
      <c r="F36" s="27"/>
      <c r="G36" s="27"/>
      <c r="H36" s="28"/>
    </row>
    <row r="37" customFormat="false" ht="18" hidden="false" customHeight="true" outlineLevel="0" collapsed="false">
      <c r="A37" s="25" t="s">
        <v>287</v>
      </c>
      <c r="B37" s="25" t="s">
        <v>65</v>
      </c>
      <c r="C37" s="17" t="s">
        <v>288</v>
      </c>
      <c r="D37" s="29" t="s">
        <v>164</v>
      </c>
      <c r="E37" s="26" t="s">
        <v>15</v>
      </c>
      <c r="F37" s="27"/>
      <c r="G37" s="27"/>
      <c r="H37" s="28"/>
    </row>
    <row r="38" customFormat="false" ht="18" hidden="false" customHeight="true" outlineLevel="0" collapsed="false">
      <c r="A38" s="25" t="s">
        <v>289</v>
      </c>
      <c r="B38" s="25" t="s">
        <v>65</v>
      </c>
      <c r="C38" s="17" t="s">
        <v>290</v>
      </c>
      <c r="D38" s="29" t="s">
        <v>164</v>
      </c>
      <c r="E38" s="26" t="s">
        <v>15</v>
      </c>
      <c r="F38" s="27"/>
      <c r="G38" s="27"/>
      <c r="H38" s="28"/>
    </row>
    <row r="39" customFormat="false" ht="30.75" hidden="false" customHeight="true" outlineLevel="0" collapsed="false">
      <c r="A39" s="25" t="s">
        <v>291</v>
      </c>
      <c r="B39" s="25" t="s">
        <v>65</v>
      </c>
      <c r="C39" s="12" t="s">
        <v>292</v>
      </c>
      <c r="D39" s="19" t="s">
        <v>179</v>
      </c>
      <c r="E39" s="26" t="s">
        <v>15</v>
      </c>
      <c r="F39" s="27"/>
      <c r="G39" s="27"/>
      <c r="H39" s="28"/>
    </row>
    <row r="40" customFormat="false" ht="21.75" hidden="false" customHeight="true" outlineLevel="0" collapsed="false">
      <c r="A40" s="23" t="s">
        <v>66</v>
      </c>
      <c r="B40" s="24"/>
      <c r="C40" s="24"/>
      <c r="D40" s="24"/>
      <c r="E40" s="24"/>
      <c r="F40" s="24"/>
      <c r="G40" s="24"/>
      <c r="H40" s="24"/>
    </row>
    <row r="41" customFormat="false" ht="18" hidden="false" customHeight="true" outlineLevel="0" collapsed="false">
      <c r="A41" s="25" t="s">
        <v>293</v>
      </c>
      <c r="B41" s="25" t="s">
        <v>66</v>
      </c>
      <c r="C41" s="17" t="s">
        <v>294</v>
      </c>
      <c r="D41" s="14" t="s">
        <v>126</v>
      </c>
      <c r="E41" s="26" t="s">
        <v>15</v>
      </c>
      <c r="F41" s="27"/>
      <c r="G41" s="27"/>
      <c r="H41" s="28"/>
    </row>
    <row r="42" customFormat="false" ht="30.75" hidden="false" customHeight="true" outlineLevel="0" collapsed="false">
      <c r="A42" s="25" t="s">
        <v>295</v>
      </c>
      <c r="B42" s="25" t="s">
        <v>66</v>
      </c>
      <c r="C42" s="17" t="s">
        <v>296</v>
      </c>
      <c r="D42" s="14" t="s">
        <v>126</v>
      </c>
      <c r="E42" s="26" t="s">
        <v>15</v>
      </c>
      <c r="F42" s="27"/>
      <c r="G42" s="27"/>
      <c r="H42" s="28"/>
    </row>
    <row r="43" customFormat="false" ht="30.75" hidden="false" customHeight="true" outlineLevel="0" collapsed="false">
      <c r="A43" s="25" t="s">
        <v>297</v>
      </c>
      <c r="B43" s="25" t="s">
        <v>66</v>
      </c>
      <c r="C43" s="17" t="s">
        <v>298</v>
      </c>
      <c r="D43" s="14" t="s">
        <v>126</v>
      </c>
      <c r="E43" s="26" t="s">
        <v>15</v>
      </c>
      <c r="F43" s="27"/>
      <c r="G43" s="27"/>
      <c r="H43" s="28"/>
    </row>
    <row r="44" customFormat="false" ht="18" hidden="false" customHeight="true" outlineLevel="0" collapsed="false">
      <c r="A44" s="25" t="s">
        <v>299</v>
      </c>
      <c r="B44" s="25" t="s">
        <v>66</v>
      </c>
      <c r="C44" s="17" t="s">
        <v>300</v>
      </c>
      <c r="D44" s="14" t="s">
        <v>126</v>
      </c>
      <c r="E44" s="26" t="s">
        <v>15</v>
      </c>
      <c r="F44" s="27"/>
      <c r="G44" s="27"/>
      <c r="H44" s="28"/>
    </row>
    <row r="45" customFormat="false" ht="18" hidden="false" customHeight="true" outlineLevel="0" collapsed="false">
      <c r="A45" s="25" t="s">
        <v>301</v>
      </c>
      <c r="B45" s="25" t="s">
        <v>66</v>
      </c>
      <c r="C45" s="17" t="s">
        <v>302</v>
      </c>
      <c r="D45" s="14" t="s">
        <v>126</v>
      </c>
      <c r="E45" s="26" t="s">
        <v>15</v>
      </c>
      <c r="F45" s="27"/>
      <c r="G45" s="27"/>
      <c r="H45" s="28"/>
    </row>
    <row r="46" customFormat="false" ht="30.75" hidden="false" customHeight="true" outlineLevel="0" collapsed="false">
      <c r="A46" s="25" t="s">
        <v>303</v>
      </c>
      <c r="B46" s="25" t="s">
        <v>66</v>
      </c>
      <c r="C46" s="17" t="s">
        <v>304</v>
      </c>
      <c r="D46" s="14" t="s">
        <v>126</v>
      </c>
      <c r="E46" s="26" t="s">
        <v>15</v>
      </c>
      <c r="F46" s="27"/>
      <c r="G46" s="27"/>
      <c r="H46" s="28"/>
    </row>
    <row r="47" customFormat="false" ht="30.75" hidden="false" customHeight="true" outlineLevel="0" collapsed="false">
      <c r="A47" s="25" t="s">
        <v>305</v>
      </c>
      <c r="B47" s="25" t="s">
        <v>66</v>
      </c>
      <c r="C47" s="17" t="s">
        <v>306</v>
      </c>
      <c r="D47" s="14" t="s">
        <v>126</v>
      </c>
      <c r="E47" s="26" t="s">
        <v>15</v>
      </c>
      <c r="F47" s="27"/>
      <c r="G47" s="27"/>
      <c r="H47" s="28"/>
    </row>
    <row r="48" customFormat="false" ht="18" hidden="false" customHeight="true" outlineLevel="0" collapsed="false">
      <c r="A48" s="25" t="s">
        <v>307</v>
      </c>
      <c r="B48" s="25" t="s">
        <v>66</v>
      </c>
      <c r="C48" s="17" t="s">
        <v>308</v>
      </c>
      <c r="D48" s="14" t="s">
        <v>126</v>
      </c>
      <c r="E48" s="26" t="s">
        <v>15</v>
      </c>
      <c r="F48" s="27"/>
      <c r="G48" s="27"/>
      <c r="H48" s="28"/>
    </row>
    <row r="49" customFormat="false" ht="30.75" hidden="false" customHeight="true" outlineLevel="0" collapsed="false">
      <c r="A49" s="25" t="s">
        <v>309</v>
      </c>
      <c r="B49" s="25" t="s">
        <v>66</v>
      </c>
      <c r="C49" s="17" t="s">
        <v>310</v>
      </c>
      <c r="D49" s="29" t="s">
        <v>164</v>
      </c>
      <c r="E49" s="26" t="s">
        <v>15</v>
      </c>
      <c r="F49" s="27"/>
      <c r="G49" s="27"/>
      <c r="H49" s="28"/>
    </row>
    <row r="50" customFormat="false" ht="18" hidden="false" customHeight="true" outlineLevel="0" collapsed="false">
      <c r="A50" s="25" t="s">
        <v>311</v>
      </c>
      <c r="B50" s="25" t="s">
        <v>66</v>
      </c>
      <c r="C50" s="17" t="s">
        <v>312</v>
      </c>
      <c r="D50" s="29" t="s">
        <v>164</v>
      </c>
      <c r="E50" s="26" t="s">
        <v>15</v>
      </c>
      <c r="F50" s="27"/>
      <c r="G50" s="27"/>
      <c r="H50" s="28"/>
    </row>
    <row r="51" customFormat="false" ht="30.75" hidden="false" customHeight="true" outlineLevel="0" collapsed="false">
      <c r="A51" s="25" t="s">
        <v>313</v>
      </c>
      <c r="B51" s="25" t="s">
        <v>66</v>
      </c>
      <c r="C51" s="12" t="s">
        <v>314</v>
      </c>
      <c r="D51" s="19" t="s">
        <v>179</v>
      </c>
      <c r="E51" s="26" t="s">
        <v>15</v>
      </c>
      <c r="F51" s="27"/>
      <c r="G51" s="27"/>
      <c r="H51" s="28"/>
    </row>
    <row r="52" customFormat="false" ht="21.75" hidden="false" customHeight="true" outlineLevel="0" collapsed="false">
      <c r="A52" s="23" t="s">
        <v>67</v>
      </c>
      <c r="B52" s="24"/>
      <c r="C52" s="24"/>
      <c r="D52" s="24"/>
      <c r="E52" s="24"/>
      <c r="F52" s="24"/>
      <c r="G52" s="24"/>
      <c r="H52" s="24"/>
    </row>
    <row r="53" customFormat="false" ht="30.75" hidden="false" customHeight="true" outlineLevel="0" collapsed="false">
      <c r="A53" s="25" t="s">
        <v>315</v>
      </c>
      <c r="B53" s="25" t="s">
        <v>67</v>
      </c>
      <c r="C53" s="17" t="s">
        <v>316</v>
      </c>
      <c r="D53" s="14" t="s">
        <v>126</v>
      </c>
      <c r="E53" s="26" t="s">
        <v>15</v>
      </c>
      <c r="F53" s="27"/>
      <c r="G53" s="27"/>
      <c r="H53" s="28"/>
    </row>
    <row r="54" customFormat="false" ht="18" hidden="false" customHeight="true" outlineLevel="0" collapsed="false">
      <c r="A54" s="25" t="s">
        <v>317</v>
      </c>
      <c r="B54" s="25" t="s">
        <v>67</v>
      </c>
      <c r="C54" s="17" t="s">
        <v>318</v>
      </c>
      <c r="D54" s="14" t="s">
        <v>126</v>
      </c>
      <c r="E54" s="26" t="s">
        <v>15</v>
      </c>
      <c r="F54" s="27"/>
      <c r="G54" s="27"/>
      <c r="H54" s="28"/>
    </row>
    <row r="55" customFormat="false" ht="18" hidden="false" customHeight="true" outlineLevel="0" collapsed="false">
      <c r="A55" s="25" t="s">
        <v>319</v>
      </c>
      <c r="B55" s="25" t="s">
        <v>67</v>
      </c>
      <c r="C55" s="17" t="s">
        <v>320</v>
      </c>
      <c r="D55" s="14" t="s">
        <v>126</v>
      </c>
      <c r="E55" s="26" t="s">
        <v>15</v>
      </c>
      <c r="F55" s="27"/>
      <c r="G55" s="27"/>
      <c r="H55" s="28"/>
    </row>
    <row r="56" customFormat="false" ht="18" hidden="false" customHeight="true" outlineLevel="0" collapsed="false">
      <c r="A56" s="25" t="s">
        <v>321</v>
      </c>
      <c r="B56" s="25" t="s">
        <v>67</v>
      </c>
      <c r="C56" s="17" t="s">
        <v>322</v>
      </c>
      <c r="D56" s="14" t="s">
        <v>126</v>
      </c>
      <c r="E56" s="26" t="s">
        <v>15</v>
      </c>
      <c r="F56" s="27"/>
      <c r="G56" s="27"/>
      <c r="H56" s="28"/>
    </row>
    <row r="57" customFormat="false" ht="30.75" hidden="false" customHeight="true" outlineLevel="0" collapsed="false">
      <c r="A57" s="25" t="s">
        <v>323</v>
      </c>
      <c r="B57" s="25" t="s">
        <v>67</v>
      </c>
      <c r="C57" s="17" t="s">
        <v>324</v>
      </c>
      <c r="D57" s="14" t="s">
        <v>126</v>
      </c>
      <c r="E57" s="26" t="s">
        <v>15</v>
      </c>
      <c r="F57" s="27"/>
      <c r="G57" s="27"/>
      <c r="H57" s="28"/>
    </row>
    <row r="58" customFormat="false" ht="30.75" hidden="false" customHeight="true" outlineLevel="0" collapsed="false">
      <c r="A58" s="25" t="s">
        <v>325</v>
      </c>
      <c r="B58" s="25" t="s">
        <v>67</v>
      </c>
      <c r="C58" s="17" t="s">
        <v>326</v>
      </c>
      <c r="D58" s="14" t="s">
        <v>126</v>
      </c>
      <c r="E58" s="26" t="s">
        <v>15</v>
      </c>
      <c r="F58" s="27"/>
      <c r="G58" s="27"/>
      <c r="H58" s="28"/>
    </row>
    <row r="59" customFormat="false" ht="30.75" hidden="false" customHeight="true" outlineLevel="0" collapsed="false">
      <c r="A59" s="25" t="s">
        <v>327</v>
      </c>
      <c r="B59" s="25" t="s">
        <v>67</v>
      </c>
      <c r="C59" s="17" t="s">
        <v>328</v>
      </c>
      <c r="D59" s="14" t="s">
        <v>126</v>
      </c>
      <c r="E59" s="26" t="s">
        <v>15</v>
      </c>
      <c r="F59" s="27"/>
      <c r="G59" s="27"/>
      <c r="H59" s="28"/>
    </row>
    <row r="60" customFormat="false" ht="18" hidden="false" customHeight="true" outlineLevel="0" collapsed="false">
      <c r="A60" s="25" t="s">
        <v>329</v>
      </c>
      <c r="B60" s="25" t="s">
        <v>67</v>
      </c>
      <c r="C60" s="17" t="s">
        <v>330</v>
      </c>
      <c r="D60" s="14" t="s">
        <v>126</v>
      </c>
      <c r="E60" s="26" t="s">
        <v>15</v>
      </c>
      <c r="F60" s="27"/>
      <c r="G60" s="27"/>
      <c r="H60" s="28"/>
    </row>
    <row r="61" customFormat="false" ht="30.75" hidden="false" customHeight="true" outlineLevel="0" collapsed="false">
      <c r="A61" s="25" t="s">
        <v>331</v>
      </c>
      <c r="B61" s="25" t="s">
        <v>67</v>
      </c>
      <c r="C61" s="17" t="s">
        <v>332</v>
      </c>
      <c r="D61" s="29" t="s">
        <v>164</v>
      </c>
      <c r="E61" s="26" t="s">
        <v>15</v>
      </c>
      <c r="F61" s="27"/>
      <c r="G61" s="27"/>
      <c r="H61" s="28"/>
    </row>
    <row r="62" customFormat="false" ht="18" hidden="false" customHeight="true" outlineLevel="0" collapsed="false">
      <c r="A62" s="25" t="s">
        <v>333</v>
      </c>
      <c r="B62" s="25" t="s">
        <v>67</v>
      </c>
      <c r="C62" s="17" t="s">
        <v>334</v>
      </c>
      <c r="D62" s="29" t="s">
        <v>164</v>
      </c>
      <c r="E62" s="26" t="s">
        <v>15</v>
      </c>
      <c r="F62" s="27"/>
      <c r="G62" s="27"/>
      <c r="H62" s="28"/>
    </row>
    <row r="63" customFormat="false" ht="18" hidden="false" customHeight="true" outlineLevel="0" collapsed="false">
      <c r="A63" s="25" t="s">
        <v>335</v>
      </c>
      <c r="B63" s="25" t="s">
        <v>67</v>
      </c>
      <c r="C63" s="17" t="s">
        <v>336</v>
      </c>
      <c r="D63" s="29" t="s">
        <v>164</v>
      </c>
      <c r="E63" s="26" t="s">
        <v>15</v>
      </c>
      <c r="F63" s="27"/>
      <c r="G63" s="27"/>
      <c r="H63" s="28"/>
    </row>
    <row r="64" customFormat="false" ht="30.75" hidden="false" customHeight="true" outlineLevel="0" collapsed="false">
      <c r="A64" s="25" t="s">
        <v>337</v>
      </c>
      <c r="B64" s="25" t="s">
        <v>67</v>
      </c>
      <c r="C64" s="12" t="s">
        <v>338</v>
      </c>
      <c r="D64" s="19" t="s">
        <v>179</v>
      </c>
      <c r="E64" s="26" t="s">
        <v>15</v>
      </c>
      <c r="F64" s="27"/>
      <c r="G64" s="27"/>
      <c r="H64" s="28"/>
    </row>
    <row r="65" customFormat="false" ht="21.75" hidden="false" customHeight="true" outlineLevel="0" collapsed="false">
      <c r="A65" s="23" t="s">
        <v>68</v>
      </c>
      <c r="B65" s="24"/>
      <c r="C65" s="24"/>
      <c r="D65" s="24"/>
      <c r="E65" s="24"/>
      <c r="F65" s="24"/>
      <c r="G65" s="24"/>
      <c r="H65" s="24"/>
    </row>
    <row r="66" customFormat="false" ht="30.75" hidden="false" customHeight="true" outlineLevel="0" collapsed="false">
      <c r="A66" s="25" t="s">
        <v>339</v>
      </c>
      <c r="B66" s="25" t="s">
        <v>68</v>
      </c>
      <c r="C66" s="17" t="s">
        <v>340</v>
      </c>
      <c r="D66" s="14" t="s">
        <v>126</v>
      </c>
      <c r="E66" s="26" t="s">
        <v>15</v>
      </c>
      <c r="F66" s="27"/>
      <c r="G66" s="27"/>
      <c r="H66" s="28"/>
    </row>
    <row r="67" customFormat="false" ht="30.75" hidden="false" customHeight="true" outlineLevel="0" collapsed="false">
      <c r="A67" s="25" t="s">
        <v>341</v>
      </c>
      <c r="B67" s="25" t="s">
        <v>68</v>
      </c>
      <c r="C67" s="17" t="s">
        <v>342</v>
      </c>
      <c r="D67" s="14" t="s">
        <v>126</v>
      </c>
      <c r="E67" s="26" t="s">
        <v>15</v>
      </c>
      <c r="F67" s="27"/>
      <c r="G67" s="27"/>
      <c r="H67" s="28"/>
    </row>
    <row r="68" customFormat="false" ht="30.75" hidden="false" customHeight="true" outlineLevel="0" collapsed="false">
      <c r="A68" s="25" t="s">
        <v>343</v>
      </c>
      <c r="B68" s="25" t="s">
        <v>68</v>
      </c>
      <c r="C68" s="17" t="s">
        <v>344</v>
      </c>
      <c r="D68" s="14" t="s">
        <v>126</v>
      </c>
      <c r="E68" s="26" t="s">
        <v>15</v>
      </c>
      <c r="F68" s="27"/>
      <c r="G68" s="27"/>
      <c r="H68" s="28"/>
    </row>
    <row r="69" customFormat="false" ht="30.75" hidden="false" customHeight="true" outlineLevel="0" collapsed="false">
      <c r="A69" s="25" t="s">
        <v>345</v>
      </c>
      <c r="B69" s="25" t="s">
        <v>68</v>
      </c>
      <c r="C69" s="17" t="s">
        <v>346</v>
      </c>
      <c r="D69" s="14" t="s">
        <v>126</v>
      </c>
      <c r="E69" s="26" t="s">
        <v>15</v>
      </c>
      <c r="F69" s="27"/>
      <c r="G69" s="27"/>
      <c r="H69" s="28"/>
    </row>
    <row r="70" customFormat="false" ht="18" hidden="false" customHeight="true" outlineLevel="0" collapsed="false">
      <c r="A70" s="25" t="s">
        <v>347</v>
      </c>
      <c r="B70" s="25" t="s">
        <v>68</v>
      </c>
      <c r="C70" s="17" t="s">
        <v>348</v>
      </c>
      <c r="D70" s="14" t="s">
        <v>126</v>
      </c>
      <c r="E70" s="26" t="s">
        <v>15</v>
      </c>
      <c r="F70" s="27"/>
      <c r="G70" s="27"/>
      <c r="H70" s="28"/>
    </row>
    <row r="71" customFormat="false" ht="18" hidden="false" customHeight="true" outlineLevel="0" collapsed="false">
      <c r="A71" s="25" t="s">
        <v>349</v>
      </c>
      <c r="B71" s="25" t="s">
        <v>68</v>
      </c>
      <c r="C71" s="17" t="s">
        <v>350</v>
      </c>
      <c r="D71" s="14" t="s">
        <v>126</v>
      </c>
      <c r="E71" s="26" t="s">
        <v>15</v>
      </c>
      <c r="F71" s="27"/>
      <c r="G71" s="27"/>
      <c r="H71" s="28"/>
    </row>
    <row r="72" customFormat="false" ht="30.75" hidden="false" customHeight="true" outlineLevel="0" collapsed="false">
      <c r="A72" s="25" t="s">
        <v>351</v>
      </c>
      <c r="B72" s="25" t="s">
        <v>68</v>
      </c>
      <c r="C72" s="17" t="s">
        <v>352</v>
      </c>
      <c r="D72" s="14" t="s">
        <v>126</v>
      </c>
      <c r="E72" s="26" t="s">
        <v>15</v>
      </c>
      <c r="F72" s="27"/>
      <c r="G72" s="27"/>
      <c r="H72" s="28"/>
    </row>
    <row r="73" customFormat="false" ht="30.75" hidden="false" customHeight="true" outlineLevel="0" collapsed="false">
      <c r="A73" s="25" t="s">
        <v>353</v>
      </c>
      <c r="B73" s="25" t="s">
        <v>68</v>
      </c>
      <c r="C73" s="17" t="s">
        <v>354</v>
      </c>
      <c r="D73" s="14" t="s">
        <v>126</v>
      </c>
      <c r="E73" s="26" t="s">
        <v>15</v>
      </c>
      <c r="F73" s="27"/>
      <c r="G73" s="27"/>
      <c r="H73" s="28"/>
    </row>
    <row r="74" customFormat="false" ht="30.75" hidden="false" customHeight="true" outlineLevel="0" collapsed="false">
      <c r="A74" s="25" t="s">
        <v>355</v>
      </c>
      <c r="B74" s="25" t="s">
        <v>68</v>
      </c>
      <c r="C74" s="17" t="s">
        <v>356</v>
      </c>
      <c r="D74" s="14" t="s">
        <v>126</v>
      </c>
      <c r="E74" s="26" t="s">
        <v>15</v>
      </c>
      <c r="F74" s="27"/>
      <c r="G74" s="27"/>
      <c r="H74" s="28"/>
    </row>
    <row r="75" customFormat="false" ht="18" hidden="false" customHeight="true" outlineLevel="0" collapsed="false">
      <c r="A75" s="25" t="s">
        <v>357</v>
      </c>
      <c r="B75" s="25" t="s">
        <v>68</v>
      </c>
      <c r="C75" s="17" t="s">
        <v>358</v>
      </c>
      <c r="D75" s="14" t="s">
        <v>126</v>
      </c>
      <c r="E75" s="26" t="s">
        <v>15</v>
      </c>
      <c r="F75" s="27"/>
      <c r="G75" s="27"/>
      <c r="H75" s="28"/>
    </row>
    <row r="76" customFormat="false" ht="30.75" hidden="false" customHeight="true" outlineLevel="0" collapsed="false">
      <c r="A76" s="25" t="s">
        <v>359</v>
      </c>
      <c r="B76" s="25" t="s">
        <v>68</v>
      </c>
      <c r="C76" s="17" t="s">
        <v>360</v>
      </c>
      <c r="D76" s="14" t="s">
        <v>126</v>
      </c>
      <c r="E76" s="26" t="s">
        <v>15</v>
      </c>
      <c r="F76" s="27"/>
      <c r="G76" s="27"/>
      <c r="H76" s="28"/>
    </row>
    <row r="77" customFormat="false" ht="30.75" hidden="false" customHeight="true" outlineLevel="0" collapsed="false">
      <c r="A77" s="25" t="s">
        <v>361</v>
      </c>
      <c r="B77" s="25" t="s">
        <v>68</v>
      </c>
      <c r="C77" s="17" t="s">
        <v>362</v>
      </c>
      <c r="D77" s="14" t="s">
        <v>126</v>
      </c>
      <c r="E77" s="26" t="s">
        <v>15</v>
      </c>
      <c r="F77" s="27"/>
      <c r="G77" s="27"/>
      <c r="H77" s="28"/>
    </row>
    <row r="78" customFormat="false" ht="30.75" hidden="false" customHeight="true" outlineLevel="0" collapsed="false">
      <c r="A78" s="25" t="s">
        <v>363</v>
      </c>
      <c r="B78" s="25" t="s">
        <v>68</v>
      </c>
      <c r="C78" s="17" t="s">
        <v>364</v>
      </c>
      <c r="D78" s="29" t="s">
        <v>164</v>
      </c>
      <c r="E78" s="26" t="s">
        <v>15</v>
      </c>
      <c r="F78" s="27"/>
      <c r="G78" s="27"/>
      <c r="H78" s="28"/>
    </row>
    <row r="79" customFormat="false" ht="18" hidden="false" customHeight="true" outlineLevel="0" collapsed="false">
      <c r="A79" s="25" t="s">
        <v>365</v>
      </c>
      <c r="B79" s="25" t="s">
        <v>68</v>
      </c>
      <c r="C79" s="17" t="s">
        <v>366</v>
      </c>
      <c r="D79" s="29" t="s">
        <v>164</v>
      </c>
      <c r="E79" s="26" t="s">
        <v>15</v>
      </c>
      <c r="F79" s="27"/>
      <c r="G79" s="27"/>
      <c r="H79" s="28"/>
    </row>
    <row r="80" customFormat="false" ht="18" hidden="false" customHeight="true" outlineLevel="0" collapsed="false">
      <c r="A80" s="25" t="s">
        <v>367</v>
      </c>
      <c r="B80" s="25" t="s">
        <v>68</v>
      </c>
      <c r="C80" s="17" t="s">
        <v>368</v>
      </c>
      <c r="D80" s="29" t="s">
        <v>164</v>
      </c>
      <c r="E80" s="26" t="s">
        <v>15</v>
      </c>
      <c r="F80" s="27"/>
      <c r="G80" s="27"/>
      <c r="H80" s="28"/>
    </row>
    <row r="81" customFormat="false" ht="18" hidden="false" customHeight="true" outlineLevel="0" collapsed="false">
      <c r="A81" s="25" t="s">
        <v>369</v>
      </c>
      <c r="B81" s="25" t="s">
        <v>68</v>
      </c>
      <c r="C81" s="17" t="s">
        <v>370</v>
      </c>
      <c r="D81" s="29" t="s">
        <v>164</v>
      </c>
      <c r="E81" s="26" t="s">
        <v>15</v>
      </c>
      <c r="F81" s="27"/>
      <c r="G81" s="27"/>
      <c r="H81" s="28"/>
    </row>
    <row r="82" customFormat="false" ht="18" hidden="false" customHeight="true" outlineLevel="0" collapsed="false">
      <c r="A82" s="25" t="s">
        <v>371</v>
      </c>
      <c r="B82" s="25" t="s">
        <v>68</v>
      </c>
      <c r="C82" s="17" t="s">
        <v>372</v>
      </c>
      <c r="D82" s="29" t="s">
        <v>164</v>
      </c>
      <c r="E82" s="26" t="s">
        <v>15</v>
      </c>
      <c r="F82" s="27"/>
      <c r="G82" s="27"/>
      <c r="H82" s="28"/>
    </row>
    <row r="83" customFormat="false" ht="30.75" hidden="false" customHeight="true" outlineLevel="0" collapsed="false">
      <c r="A83" s="25" t="s">
        <v>373</v>
      </c>
      <c r="B83" s="25" t="s">
        <v>68</v>
      </c>
      <c r="C83" s="12" t="s">
        <v>374</v>
      </c>
      <c r="D83" s="19" t="s">
        <v>179</v>
      </c>
      <c r="E83" s="26" t="s">
        <v>15</v>
      </c>
      <c r="F83" s="27"/>
      <c r="G83" s="27"/>
      <c r="H83" s="28"/>
    </row>
    <row r="84" customFormat="false" ht="21.75" hidden="false" customHeight="true" outlineLevel="0" collapsed="false">
      <c r="A84" s="23" t="s">
        <v>69</v>
      </c>
      <c r="B84" s="24"/>
      <c r="C84" s="24"/>
      <c r="D84" s="24"/>
      <c r="E84" s="24"/>
      <c r="F84" s="24"/>
      <c r="G84" s="24"/>
      <c r="H84" s="24"/>
    </row>
    <row r="85" customFormat="false" ht="18" hidden="false" customHeight="true" outlineLevel="0" collapsed="false">
      <c r="A85" s="25" t="s">
        <v>375</v>
      </c>
      <c r="B85" s="25" t="s">
        <v>69</v>
      </c>
      <c r="C85" s="17" t="s">
        <v>376</v>
      </c>
      <c r="D85" s="14" t="s">
        <v>126</v>
      </c>
      <c r="E85" s="26" t="s">
        <v>15</v>
      </c>
      <c r="F85" s="27"/>
      <c r="G85" s="27"/>
      <c r="H85" s="28"/>
    </row>
    <row r="86" customFormat="false" ht="30.75" hidden="false" customHeight="true" outlineLevel="0" collapsed="false">
      <c r="A86" s="25" t="s">
        <v>377</v>
      </c>
      <c r="B86" s="25" t="s">
        <v>69</v>
      </c>
      <c r="C86" s="17" t="s">
        <v>378</v>
      </c>
      <c r="D86" s="14" t="s">
        <v>126</v>
      </c>
      <c r="E86" s="26" t="s">
        <v>15</v>
      </c>
      <c r="F86" s="27"/>
      <c r="G86" s="27"/>
      <c r="H86" s="28"/>
    </row>
    <row r="87" customFormat="false" ht="30.75" hidden="false" customHeight="true" outlineLevel="0" collapsed="false">
      <c r="A87" s="25" t="s">
        <v>379</v>
      </c>
      <c r="B87" s="25" t="s">
        <v>69</v>
      </c>
      <c r="C87" s="17" t="s">
        <v>380</v>
      </c>
      <c r="D87" s="14" t="s">
        <v>126</v>
      </c>
      <c r="E87" s="26" t="s">
        <v>15</v>
      </c>
      <c r="F87" s="27"/>
      <c r="G87" s="27"/>
      <c r="H87" s="28"/>
    </row>
    <row r="88" customFormat="false" ht="30.75" hidden="false" customHeight="true" outlineLevel="0" collapsed="false">
      <c r="A88" s="25" t="s">
        <v>381</v>
      </c>
      <c r="B88" s="25" t="s">
        <v>69</v>
      </c>
      <c r="C88" s="17" t="s">
        <v>382</v>
      </c>
      <c r="D88" s="14" t="s">
        <v>126</v>
      </c>
      <c r="E88" s="26" t="s">
        <v>15</v>
      </c>
      <c r="F88" s="27"/>
      <c r="G88" s="27"/>
      <c r="H88" s="28"/>
    </row>
    <row r="89" customFormat="false" ht="18" hidden="false" customHeight="true" outlineLevel="0" collapsed="false">
      <c r="A89" s="25" t="s">
        <v>383</v>
      </c>
      <c r="B89" s="25" t="s">
        <v>69</v>
      </c>
      <c r="C89" s="17" t="s">
        <v>384</v>
      </c>
      <c r="D89" s="14" t="s">
        <v>126</v>
      </c>
      <c r="E89" s="26" t="s">
        <v>15</v>
      </c>
      <c r="F89" s="27"/>
      <c r="G89" s="27"/>
      <c r="H89" s="28"/>
    </row>
    <row r="90" customFormat="false" ht="18" hidden="false" customHeight="true" outlineLevel="0" collapsed="false">
      <c r="A90" s="25" t="s">
        <v>385</v>
      </c>
      <c r="B90" s="25" t="s">
        <v>69</v>
      </c>
      <c r="C90" s="17" t="s">
        <v>386</v>
      </c>
      <c r="D90" s="14" t="s">
        <v>126</v>
      </c>
      <c r="E90" s="26" t="s">
        <v>15</v>
      </c>
      <c r="F90" s="27"/>
      <c r="G90" s="27"/>
      <c r="H90" s="28"/>
    </row>
    <row r="91" customFormat="false" ht="18" hidden="false" customHeight="true" outlineLevel="0" collapsed="false">
      <c r="A91" s="25" t="s">
        <v>387</v>
      </c>
      <c r="B91" s="25" t="s">
        <v>69</v>
      </c>
      <c r="C91" s="17" t="s">
        <v>388</v>
      </c>
      <c r="D91" s="14" t="s">
        <v>126</v>
      </c>
      <c r="E91" s="26" t="s">
        <v>15</v>
      </c>
      <c r="F91" s="27"/>
      <c r="G91" s="27"/>
      <c r="H91" s="28"/>
    </row>
    <row r="92" customFormat="false" ht="18" hidden="false" customHeight="true" outlineLevel="0" collapsed="false">
      <c r="A92" s="25" t="s">
        <v>389</v>
      </c>
      <c r="B92" s="25" t="s">
        <v>69</v>
      </c>
      <c r="C92" s="17" t="s">
        <v>390</v>
      </c>
      <c r="D92" s="14" t="s">
        <v>126</v>
      </c>
      <c r="E92" s="26" t="s">
        <v>15</v>
      </c>
      <c r="F92" s="27"/>
      <c r="G92" s="27"/>
      <c r="H92" s="28"/>
    </row>
    <row r="93" customFormat="false" ht="18" hidden="false" customHeight="true" outlineLevel="0" collapsed="false">
      <c r="A93" s="25" t="s">
        <v>391</v>
      </c>
      <c r="B93" s="25" t="s">
        <v>69</v>
      </c>
      <c r="C93" s="17" t="s">
        <v>392</v>
      </c>
      <c r="D93" s="14" t="s">
        <v>126</v>
      </c>
      <c r="E93" s="26" t="s">
        <v>15</v>
      </c>
      <c r="F93" s="27"/>
      <c r="G93" s="27"/>
      <c r="H93" s="28"/>
    </row>
    <row r="94" customFormat="false" ht="30.75" hidden="false" customHeight="true" outlineLevel="0" collapsed="false">
      <c r="A94" s="25" t="s">
        <v>393</v>
      </c>
      <c r="B94" s="25" t="s">
        <v>69</v>
      </c>
      <c r="C94" s="17" t="s">
        <v>394</v>
      </c>
      <c r="D94" s="14" t="s">
        <v>126</v>
      </c>
      <c r="E94" s="26" t="s">
        <v>15</v>
      </c>
      <c r="F94" s="27"/>
      <c r="G94" s="27"/>
      <c r="H94" s="28"/>
    </row>
    <row r="95" customFormat="false" ht="18" hidden="false" customHeight="true" outlineLevel="0" collapsed="false">
      <c r="A95" s="25" t="s">
        <v>395</v>
      </c>
      <c r="B95" s="25" t="s">
        <v>69</v>
      </c>
      <c r="C95" s="17" t="s">
        <v>396</v>
      </c>
      <c r="D95" s="29" t="s">
        <v>164</v>
      </c>
      <c r="E95" s="26" t="s">
        <v>15</v>
      </c>
      <c r="F95" s="27"/>
      <c r="G95" s="27"/>
      <c r="H95" s="28"/>
    </row>
    <row r="96" customFormat="false" ht="30.75" hidden="false" customHeight="true" outlineLevel="0" collapsed="false">
      <c r="A96" s="25" t="s">
        <v>397</v>
      </c>
      <c r="B96" s="25" t="s">
        <v>69</v>
      </c>
      <c r="C96" s="17" t="s">
        <v>398</v>
      </c>
      <c r="D96" s="29" t="s">
        <v>164</v>
      </c>
      <c r="E96" s="26" t="s">
        <v>15</v>
      </c>
      <c r="F96" s="27"/>
      <c r="G96" s="27"/>
      <c r="H96" s="28"/>
    </row>
    <row r="97" customFormat="false" ht="30.75" hidden="false" customHeight="true" outlineLevel="0" collapsed="false">
      <c r="A97" s="25" t="s">
        <v>399</v>
      </c>
      <c r="B97" s="25" t="s">
        <v>69</v>
      </c>
      <c r="C97" s="12" t="s">
        <v>400</v>
      </c>
      <c r="D97" s="19" t="s">
        <v>179</v>
      </c>
      <c r="E97" s="26" t="s">
        <v>15</v>
      </c>
      <c r="F97" s="27"/>
      <c r="G97" s="27"/>
      <c r="H97" s="28"/>
    </row>
    <row r="98" customFormat="false" ht="21.75" hidden="false" customHeight="true" outlineLevel="0" collapsed="false">
      <c r="A98" s="23" t="s">
        <v>70</v>
      </c>
      <c r="B98" s="24"/>
      <c r="C98" s="24"/>
      <c r="D98" s="24"/>
      <c r="E98" s="24"/>
      <c r="F98" s="24"/>
      <c r="G98" s="24"/>
      <c r="H98" s="24"/>
    </row>
    <row r="99" customFormat="false" ht="30.75" hidden="false" customHeight="true" outlineLevel="0" collapsed="false">
      <c r="A99" s="25" t="s">
        <v>401</v>
      </c>
      <c r="B99" s="25" t="s">
        <v>70</v>
      </c>
      <c r="C99" s="17" t="s">
        <v>402</v>
      </c>
      <c r="D99" s="14" t="s">
        <v>126</v>
      </c>
      <c r="E99" s="26" t="s">
        <v>15</v>
      </c>
      <c r="F99" s="27"/>
      <c r="G99" s="27"/>
      <c r="H99" s="28"/>
    </row>
    <row r="100" customFormat="false" ht="30.75" hidden="false" customHeight="true" outlineLevel="0" collapsed="false">
      <c r="A100" s="25" t="s">
        <v>403</v>
      </c>
      <c r="B100" s="25" t="s">
        <v>70</v>
      </c>
      <c r="C100" s="17" t="s">
        <v>404</v>
      </c>
      <c r="D100" s="14" t="s">
        <v>126</v>
      </c>
      <c r="E100" s="26" t="s">
        <v>15</v>
      </c>
      <c r="F100" s="27"/>
      <c r="G100" s="27"/>
      <c r="H100" s="28"/>
    </row>
    <row r="101" customFormat="false" ht="30.75" hidden="false" customHeight="true" outlineLevel="0" collapsed="false">
      <c r="A101" s="25" t="s">
        <v>405</v>
      </c>
      <c r="B101" s="25" t="s">
        <v>70</v>
      </c>
      <c r="C101" s="17" t="s">
        <v>406</v>
      </c>
      <c r="D101" s="14" t="s">
        <v>126</v>
      </c>
      <c r="E101" s="26" t="s">
        <v>15</v>
      </c>
      <c r="F101" s="27"/>
      <c r="G101" s="27"/>
      <c r="H101" s="28"/>
    </row>
    <row r="102" customFormat="false" ht="30.75" hidden="false" customHeight="true" outlineLevel="0" collapsed="false">
      <c r="A102" s="25" t="s">
        <v>407</v>
      </c>
      <c r="B102" s="25" t="s">
        <v>70</v>
      </c>
      <c r="C102" s="17" t="s">
        <v>408</v>
      </c>
      <c r="D102" s="14" t="s">
        <v>126</v>
      </c>
      <c r="E102" s="26" t="s">
        <v>15</v>
      </c>
      <c r="F102" s="27"/>
      <c r="G102" s="27"/>
      <c r="H102" s="28"/>
    </row>
    <row r="103" customFormat="false" ht="30.75" hidden="false" customHeight="true" outlineLevel="0" collapsed="false">
      <c r="A103" s="25" t="s">
        <v>409</v>
      </c>
      <c r="B103" s="25" t="s">
        <v>70</v>
      </c>
      <c r="C103" s="17" t="s">
        <v>410</v>
      </c>
      <c r="D103" s="14" t="s">
        <v>126</v>
      </c>
      <c r="E103" s="26" t="s">
        <v>15</v>
      </c>
      <c r="F103" s="27"/>
      <c r="G103" s="27"/>
      <c r="H103" s="28"/>
    </row>
    <row r="104" customFormat="false" ht="18" hidden="false" customHeight="true" outlineLevel="0" collapsed="false">
      <c r="A104" s="25" t="s">
        <v>411</v>
      </c>
      <c r="B104" s="25" t="s">
        <v>70</v>
      </c>
      <c r="C104" s="17" t="s">
        <v>412</v>
      </c>
      <c r="D104" s="14" t="s">
        <v>126</v>
      </c>
      <c r="E104" s="26" t="s">
        <v>15</v>
      </c>
      <c r="F104" s="27"/>
      <c r="G104" s="27"/>
      <c r="H104" s="28"/>
    </row>
    <row r="105" customFormat="false" ht="30.75" hidden="false" customHeight="true" outlineLevel="0" collapsed="false">
      <c r="A105" s="25" t="s">
        <v>413</v>
      </c>
      <c r="B105" s="25" t="s">
        <v>70</v>
      </c>
      <c r="C105" s="12" t="s">
        <v>414</v>
      </c>
      <c r="D105" s="19" t="s">
        <v>179</v>
      </c>
      <c r="E105" s="26" t="s">
        <v>15</v>
      </c>
      <c r="F105" s="27"/>
      <c r="G105" s="27"/>
      <c r="H105" s="28"/>
    </row>
    <row r="106" customFormat="false" ht="21.75" hidden="false" customHeight="true" outlineLevel="0" collapsed="false">
      <c r="A106" s="23" t="s">
        <v>71</v>
      </c>
      <c r="B106" s="24"/>
      <c r="C106" s="24"/>
      <c r="D106" s="24"/>
      <c r="E106" s="24"/>
      <c r="F106" s="24"/>
      <c r="G106" s="24"/>
      <c r="H106" s="24"/>
    </row>
    <row r="107" customFormat="false" ht="30.75" hidden="false" customHeight="true" outlineLevel="0" collapsed="false">
      <c r="A107" s="25" t="s">
        <v>415</v>
      </c>
      <c r="B107" s="25" t="s">
        <v>71</v>
      </c>
      <c r="C107" s="17" t="s">
        <v>416</v>
      </c>
      <c r="D107" s="14" t="s">
        <v>126</v>
      </c>
      <c r="E107" s="26" t="s">
        <v>15</v>
      </c>
      <c r="F107" s="27"/>
      <c r="G107" s="27"/>
      <c r="H107" s="28"/>
    </row>
    <row r="108" customFormat="false" ht="30.75" hidden="false" customHeight="true" outlineLevel="0" collapsed="false">
      <c r="A108" s="25" t="s">
        <v>417</v>
      </c>
      <c r="B108" s="25" t="s">
        <v>71</v>
      </c>
      <c r="C108" s="17" t="s">
        <v>418</v>
      </c>
      <c r="D108" s="14" t="s">
        <v>126</v>
      </c>
      <c r="E108" s="26" t="s">
        <v>15</v>
      </c>
      <c r="F108" s="27"/>
      <c r="G108" s="27"/>
      <c r="H108" s="28"/>
    </row>
    <row r="109" customFormat="false" ht="18" hidden="false" customHeight="true" outlineLevel="0" collapsed="false">
      <c r="A109" s="25" t="s">
        <v>419</v>
      </c>
      <c r="B109" s="25" t="s">
        <v>71</v>
      </c>
      <c r="C109" s="17" t="s">
        <v>420</v>
      </c>
      <c r="D109" s="29" t="s">
        <v>164</v>
      </c>
      <c r="E109" s="26" t="s">
        <v>15</v>
      </c>
      <c r="F109" s="27"/>
      <c r="G109" s="27"/>
      <c r="H109" s="28"/>
    </row>
    <row r="110" customFormat="false" ht="18" hidden="false" customHeight="true" outlineLevel="0" collapsed="false">
      <c r="A110" s="25" t="s">
        <v>421</v>
      </c>
      <c r="B110" s="25" t="s">
        <v>71</v>
      </c>
      <c r="C110" s="17" t="s">
        <v>422</v>
      </c>
      <c r="D110" s="29" t="s">
        <v>164</v>
      </c>
      <c r="E110" s="26" t="s">
        <v>15</v>
      </c>
      <c r="F110" s="27"/>
      <c r="G110" s="27"/>
      <c r="H110" s="28"/>
    </row>
    <row r="111" customFormat="false" ht="18" hidden="false" customHeight="true" outlineLevel="0" collapsed="false">
      <c r="A111" s="25" t="s">
        <v>423</v>
      </c>
      <c r="B111" s="25" t="s">
        <v>71</v>
      </c>
      <c r="C111" s="17" t="s">
        <v>424</v>
      </c>
      <c r="D111" s="29" t="s">
        <v>164</v>
      </c>
      <c r="E111" s="26" t="s">
        <v>15</v>
      </c>
      <c r="F111" s="27"/>
      <c r="G111" s="27"/>
      <c r="H111" s="28"/>
    </row>
    <row r="112" customFormat="false" ht="30.75" hidden="false" customHeight="true" outlineLevel="0" collapsed="false">
      <c r="A112" s="25" t="s">
        <v>425</v>
      </c>
      <c r="B112" s="25" t="s">
        <v>71</v>
      </c>
      <c r="C112" s="17" t="s">
        <v>426</v>
      </c>
      <c r="D112" s="29" t="s">
        <v>164</v>
      </c>
      <c r="E112" s="26" t="s">
        <v>15</v>
      </c>
      <c r="F112" s="27"/>
      <c r="G112" s="27"/>
      <c r="H112" s="28"/>
    </row>
    <row r="113" customFormat="false" ht="18" hidden="false" customHeight="true" outlineLevel="0" collapsed="false">
      <c r="A113" s="25" t="s">
        <v>427</v>
      </c>
      <c r="B113" s="25" t="s">
        <v>71</v>
      </c>
      <c r="C113" s="17" t="s">
        <v>428</v>
      </c>
      <c r="D113" s="29" t="s">
        <v>164</v>
      </c>
      <c r="E113" s="26" t="s">
        <v>15</v>
      </c>
      <c r="F113" s="27"/>
      <c r="G113" s="27"/>
      <c r="H113" s="28"/>
    </row>
    <row r="114" customFormat="false" ht="18" hidden="false" customHeight="true" outlineLevel="0" collapsed="false">
      <c r="A114" s="25" t="s">
        <v>429</v>
      </c>
      <c r="B114" s="25" t="s">
        <v>71</v>
      </c>
      <c r="C114" s="17" t="s">
        <v>430</v>
      </c>
      <c r="D114" s="14" t="s">
        <v>126</v>
      </c>
      <c r="E114" s="26" t="s">
        <v>15</v>
      </c>
      <c r="F114" s="27"/>
      <c r="G114" s="27"/>
      <c r="H114" s="28"/>
    </row>
    <row r="115" customFormat="false" ht="18" hidden="false" customHeight="true" outlineLevel="0" collapsed="false">
      <c r="A115" s="25" t="s">
        <v>431</v>
      </c>
      <c r="B115" s="25" t="s">
        <v>71</v>
      </c>
      <c r="C115" s="17" t="s">
        <v>432</v>
      </c>
      <c r="D115" s="14" t="s">
        <v>126</v>
      </c>
      <c r="E115" s="26" t="s">
        <v>15</v>
      </c>
      <c r="F115" s="27"/>
      <c r="G115" s="27"/>
      <c r="H115" s="28"/>
    </row>
    <row r="116" customFormat="false" ht="30.75" hidden="false" customHeight="true" outlineLevel="0" collapsed="false">
      <c r="A116" s="25" t="s">
        <v>433</v>
      </c>
      <c r="B116" s="25" t="s">
        <v>71</v>
      </c>
      <c r="C116" s="12" t="s">
        <v>434</v>
      </c>
      <c r="D116" s="19" t="s">
        <v>179</v>
      </c>
      <c r="E116" s="26" t="s">
        <v>15</v>
      </c>
      <c r="F116" s="27"/>
      <c r="G116" s="27"/>
      <c r="H116" s="28"/>
    </row>
    <row r="117" customFormat="false" ht="21.75" hidden="false" customHeight="true" outlineLevel="0" collapsed="false">
      <c r="A117" s="23" t="s">
        <v>72</v>
      </c>
      <c r="B117" s="24"/>
      <c r="C117" s="24"/>
      <c r="D117" s="24"/>
      <c r="E117" s="24"/>
      <c r="F117" s="24"/>
      <c r="G117" s="24"/>
      <c r="H117" s="24"/>
    </row>
    <row r="118" customFormat="false" ht="18" hidden="false" customHeight="true" outlineLevel="0" collapsed="false">
      <c r="A118" s="25" t="s">
        <v>435</v>
      </c>
      <c r="B118" s="25" t="s">
        <v>72</v>
      </c>
      <c r="C118" s="17" t="s">
        <v>436</v>
      </c>
      <c r="D118" s="14" t="s">
        <v>126</v>
      </c>
      <c r="E118" s="26" t="s">
        <v>15</v>
      </c>
      <c r="F118" s="27"/>
      <c r="G118" s="27"/>
      <c r="H118" s="28"/>
    </row>
    <row r="119" customFormat="false" ht="30.75" hidden="false" customHeight="true" outlineLevel="0" collapsed="false">
      <c r="A119" s="25" t="s">
        <v>437</v>
      </c>
      <c r="B119" s="25" t="s">
        <v>72</v>
      </c>
      <c r="C119" s="17" t="s">
        <v>438</v>
      </c>
      <c r="D119" s="14" t="s">
        <v>126</v>
      </c>
      <c r="E119" s="26" t="s">
        <v>15</v>
      </c>
      <c r="F119" s="27"/>
      <c r="G119" s="27"/>
      <c r="H119" s="28"/>
    </row>
    <row r="120" customFormat="false" ht="18" hidden="false" customHeight="true" outlineLevel="0" collapsed="false">
      <c r="A120" s="25" t="s">
        <v>439</v>
      </c>
      <c r="B120" s="25" t="s">
        <v>72</v>
      </c>
      <c r="C120" s="17" t="s">
        <v>440</v>
      </c>
      <c r="D120" s="29" t="s">
        <v>164</v>
      </c>
      <c r="E120" s="26" t="s">
        <v>15</v>
      </c>
      <c r="F120" s="27"/>
      <c r="G120" s="27"/>
      <c r="H120" s="28"/>
    </row>
    <row r="121" customFormat="false" ht="18" hidden="false" customHeight="true" outlineLevel="0" collapsed="false">
      <c r="A121" s="25" t="s">
        <v>441</v>
      </c>
      <c r="B121" s="25" t="s">
        <v>72</v>
      </c>
      <c r="C121" s="17" t="s">
        <v>442</v>
      </c>
      <c r="D121" s="29" t="s">
        <v>164</v>
      </c>
      <c r="E121" s="26" t="s">
        <v>15</v>
      </c>
      <c r="F121" s="27"/>
      <c r="G121" s="27"/>
      <c r="H121" s="28"/>
    </row>
    <row r="122" customFormat="false" ht="18" hidden="false" customHeight="true" outlineLevel="0" collapsed="false">
      <c r="A122" s="25" t="s">
        <v>443</v>
      </c>
      <c r="B122" s="25" t="s">
        <v>72</v>
      </c>
      <c r="C122" s="17" t="s">
        <v>444</v>
      </c>
      <c r="D122" s="29" t="s">
        <v>164</v>
      </c>
      <c r="E122" s="26" t="s">
        <v>15</v>
      </c>
      <c r="F122" s="27"/>
      <c r="G122" s="27"/>
      <c r="H122" s="28"/>
    </row>
    <row r="123" customFormat="false" ht="18" hidden="false" customHeight="true" outlineLevel="0" collapsed="false">
      <c r="A123" s="25" t="s">
        <v>445</v>
      </c>
      <c r="B123" s="25" t="s">
        <v>72</v>
      </c>
      <c r="C123" s="17" t="s">
        <v>446</v>
      </c>
      <c r="D123" s="29" t="s">
        <v>164</v>
      </c>
      <c r="E123" s="26" t="s">
        <v>15</v>
      </c>
      <c r="F123" s="27"/>
      <c r="G123" s="27"/>
      <c r="H123" s="28"/>
    </row>
    <row r="124" customFormat="false" ht="18" hidden="false" customHeight="true" outlineLevel="0" collapsed="false">
      <c r="A124" s="25" t="s">
        <v>447</v>
      </c>
      <c r="B124" s="25" t="s">
        <v>72</v>
      </c>
      <c r="C124" s="17" t="s">
        <v>448</v>
      </c>
      <c r="D124" s="29" t="s">
        <v>164</v>
      </c>
      <c r="E124" s="26" t="s">
        <v>15</v>
      </c>
      <c r="F124" s="27"/>
      <c r="G124" s="27"/>
      <c r="H124" s="28"/>
    </row>
    <row r="125" customFormat="false" ht="30.75" hidden="false" customHeight="true" outlineLevel="0" collapsed="false">
      <c r="A125" s="25" t="s">
        <v>449</v>
      </c>
      <c r="B125" s="25" t="s">
        <v>72</v>
      </c>
      <c r="C125" s="17" t="s">
        <v>450</v>
      </c>
      <c r="D125" s="14" t="s">
        <v>126</v>
      </c>
      <c r="E125" s="26" t="s">
        <v>15</v>
      </c>
      <c r="F125" s="27"/>
      <c r="G125" s="27"/>
      <c r="H125" s="28"/>
    </row>
    <row r="126" customFormat="false" ht="18" hidden="false" customHeight="true" outlineLevel="0" collapsed="false">
      <c r="A126" s="25" t="s">
        <v>451</v>
      </c>
      <c r="B126" s="25" t="s">
        <v>72</v>
      </c>
      <c r="C126" s="17" t="s">
        <v>452</v>
      </c>
      <c r="D126" s="14" t="s">
        <v>126</v>
      </c>
      <c r="E126" s="26" t="s">
        <v>15</v>
      </c>
      <c r="F126" s="27"/>
      <c r="G126" s="27"/>
      <c r="H126" s="28"/>
    </row>
    <row r="127" customFormat="false" ht="30.75" hidden="false" customHeight="true" outlineLevel="0" collapsed="false">
      <c r="A127" s="25" t="s">
        <v>453</v>
      </c>
      <c r="B127" s="25" t="s">
        <v>72</v>
      </c>
      <c r="C127" s="12" t="s">
        <v>454</v>
      </c>
      <c r="D127" s="19" t="s">
        <v>179</v>
      </c>
      <c r="E127" s="26" t="s">
        <v>15</v>
      </c>
      <c r="F127" s="27"/>
      <c r="G127" s="27"/>
      <c r="H127" s="28"/>
    </row>
  </sheetData>
  <autoFilter ref="A5:H127"/>
  <conditionalFormatting sqref="B3">
    <cfRule type="dataBar" priority="2">
      <dataBar showValue="1" minLength="10" maxLength="90">
        <cfvo type="num" val="0"/>
        <cfvo type="num" val="1"/>
        <color rgb="FF70AD47"/>
      </dataBar>
      <extLst>
        <ext xmlns:x14="http://schemas.microsoft.com/office/spreadsheetml/2009/9/main" uri="{B025F937-C7B1-47D3-B67F-A62EFF666E3E}">
          <x14:id>{F219396E-FE32-4380-9FA3-DD8E50C1D4A1}</x14:id>
        </ext>
      </extLst>
    </cfRule>
  </conditionalFormatting>
  <conditionalFormatting sqref="E6:E127">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127">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25 E27:E39 E41:E51 E53:E64 E66:E83 E85:E97 E99:E105 E107:E116 E118:E127"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F219396E-FE32-4380-9FA3-DD8E50C1D4A1}">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30</v>
      </c>
    </row>
    <row r="2" customFormat="false" ht="15" hidden="false" customHeight="false" outlineLevel="0" collapsed="false">
      <c r="A2" s="2" t="s">
        <v>455</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91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74</v>
      </c>
      <c r="B6" s="24"/>
      <c r="C6" s="24"/>
      <c r="D6" s="24"/>
      <c r="E6" s="24"/>
      <c r="F6" s="24"/>
      <c r="G6" s="24"/>
      <c r="H6" s="24"/>
    </row>
    <row r="7" customFormat="false" ht="30.75" hidden="false" customHeight="true" outlineLevel="0" collapsed="false">
      <c r="A7" s="25" t="s">
        <v>456</v>
      </c>
      <c r="B7" s="25" t="s">
        <v>74</v>
      </c>
      <c r="C7" s="17" t="s">
        <v>457</v>
      </c>
      <c r="D7" s="14" t="s">
        <v>126</v>
      </c>
      <c r="E7" s="26" t="s">
        <v>15</v>
      </c>
      <c r="F7" s="27"/>
      <c r="G7" s="27"/>
      <c r="H7" s="28"/>
    </row>
    <row r="8" customFormat="false" ht="43.5" hidden="false" customHeight="true" outlineLevel="0" collapsed="false">
      <c r="A8" s="25" t="s">
        <v>458</v>
      </c>
      <c r="B8" s="25" t="s">
        <v>74</v>
      </c>
      <c r="C8" s="17" t="s">
        <v>459</v>
      </c>
      <c r="D8" s="14" t="s">
        <v>126</v>
      </c>
      <c r="E8" s="26" t="s">
        <v>15</v>
      </c>
      <c r="F8" s="27"/>
      <c r="G8" s="27"/>
      <c r="H8" s="28"/>
    </row>
    <row r="9" customFormat="false" ht="30.75" hidden="false" customHeight="true" outlineLevel="0" collapsed="false">
      <c r="A9" s="25" t="s">
        <v>460</v>
      </c>
      <c r="B9" s="25" t="s">
        <v>74</v>
      </c>
      <c r="C9" s="17" t="s">
        <v>461</v>
      </c>
      <c r="D9" s="14" t="s">
        <v>126</v>
      </c>
      <c r="E9" s="26" t="s">
        <v>15</v>
      </c>
      <c r="F9" s="27"/>
      <c r="G9" s="27"/>
      <c r="H9" s="28"/>
    </row>
    <row r="10" customFormat="false" ht="30.75" hidden="false" customHeight="true" outlineLevel="0" collapsed="false">
      <c r="A10" s="25" t="s">
        <v>462</v>
      </c>
      <c r="B10" s="25" t="s">
        <v>74</v>
      </c>
      <c r="C10" s="17" t="s">
        <v>463</v>
      </c>
      <c r="D10" s="14" t="s">
        <v>126</v>
      </c>
      <c r="E10" s="26" t="s">
        <v>15</v>
      </c>
      <c r="F10" s="27"/>
      <c r="G10" s="27"/>
      <c r="H10" s="28"/>
    </row>
    <row r="11" customFormat="false" ht="30.75" hidden="false" customHeight="true" outlineLevel="0" collapsed="false">
      <c r="A11" s="25" t="s">
        <v>464</v>
      </c>
      <c r="B11" s="25" t="s">
        <v>74</v>
      </c>
      <c r="C11" s="17" t="s">
        <v>465</v>
      </c>
      <c r="D11" s="14" t="s">
        <v>126</v>
      </c>
      <c r="E11" s="26" t="s">
        <v>15</v>
      </c>
      <c r="F11" s="27"/>
      <c r="G11" s="27"/>
      <c r="H11" s="28"/>
    </row>
    <row r="12" customFormat="false" ht="18" hidden="false" customHeight="true" outlineLevel="0" collapsed="false">
      <c r="A12" s="25" t="s">
        <v>466</v>
      </c>
      <c r="B12" s="25" t="s">
        <v>74</v>
      </c>
      <c r="C12" s="12" t="s">
        <v>467</v>
      </c>
      <c r="D12" s="19" t="s">
        <v>179</v>
      </c>
      <c r="E12" s="26" t="s">
        <v>15</v>
      </c>
      <c r="F12" s="27"/>
      <c r="G12" s="27"/>
      <c r="H12" s="28"/>
    </row>
    <row r="13" customFormat="false" ht="21.75" hidden="false" customHeight="true" outlineLevel="0" collapsed="false">
      <c r="A13" s="23" t="s">
        <v>75</v>
      </c>
      <c r="B13" s="24"/>
      <c r="C13" s="24"/>
      <c r="D13" s="24"/>
      <c r="E13" s="24"/>
      <c r="F13" s="24"/>
      <c r="G13" s="24"/>
      <c r="H13" s="24"/>
    </row>
    <row r="14" customFormat="false" ht="30.75" hidden="false" customHeight="true" outlineLevel="0" collapsed="false">
      <c r="A14" s="25" t="s">
        <v>468</v>
      </c>
      <c r="B14" s="25" t="s">
        <v>75</v>
      </c>
      <c r="C14" s="17" t="s">
        <v>469</v>
      </c>
      <c r="D14" s="14" t="s">
        <v>126</v>
      </c>
      <c r="E14" s="26" t="s">
        <v>15</v>
      </c>
      <c r="F14" s="27"/>
      <c r="G14" s="27"/>
      <c r="H14" s="28"/>
    </row>
    <row r="15" customFormat="false" ht="18" hidden="false" customHeight="true" outlineLevel="0" collapsed="false">
      <c r="A15" s="25" t="s">
        <v>470</v>
      </c>
      <c r="B15" s="25" t="s">
        <v>75</v>
      </c>
      <c r="C15" s="17" t="s">
        <v>471</v>
      </c>
      <c r="D15" s="14" t="s">
        <v>126</v>
      </c>
      <c r="E15" s="26" t="s">
        <v>15</v>
      </c>
      <c r="F15" s="27"/>
      <c r="G15" s="27"/>
      <c r="H15" s="28"/>
    </row>
    <row r="16" customFormat="false" ht="30.75" hidden="false" customHeight="true" outlineLevel="0" collapsed="false">
      <c r="A16" s="25" t="s">
        <v>472</v>
      </c>
      <c r="B16" s="25" t="s">
        <v>75</v>
      </c>
      <c r="C16" s="17" t="s">
        <v>473</v>
      </c>
      <c r="D16" s="14" t="s">
        <v>126</v>
      </c>
      <c r="E16" s="26" t="s">
        <v>15</v>
      </c>
      <c r="F16" s="27"/>
      <c r="G16" s="27"/>
      <c r="H16" s="28"/>
    </row>
    <row r="17" customFormat="false" ht="18" hidden="false" customHeight="true" outlineLevel="0" collapsed="false">
      <c r="A17" s="25" t="s">
        <v>474</v>
      </c>
      <c r="B17" s="25" t="s">
        <v>75</v>
      </c>
      <c r="C17" s="17" t="s">
        <v>475</v>
      </c>
      <c r="D17" s="14" t="s">
        <v>126</v>
      </c>
      <c r="E17" s="26" t="s">
        <v>15</v>
      </c>
      <c r="F17" s="27"/>
      <c r="G17" s="27"/>
      <c r="H17" s="28"/>
    </row>
    <row r="18" customFormat="false" ht="18" hidden="false" customHeight="true" outlineLevel="0" collapsed="false">
      <c r="A18" s="25" t="s">
        <v>476</v>
      </c>
      <c r="B18" s="25" t="s">
        <v>75</v>
      </c>
      <c r="C18" s="17" t="s">
        <v>477</v>
      </c>
      <c r="D18" s="14" t="s">
        <v>126</v>
      </c>
      <c r="E18" s="26" t="s">
        <v>15</v>
      </c>
      <c r="F18" s="27"/>
      <c r="G18" s="27"/>
      <c r="H18" s="28"/>
    </row>
    <row r="19" customFormat="false" ht="18" hidden="false" customHeight="true" outlineLevel="0" collapsed="false">
      <c r="A19" s="25" t="s">
        <v>478</v>
      </c>
      <c r="B19" s="25" t="s">
        <v>75</v>
      </c>
      <c r="C19" s="12" t="s">
        <v>479</v>
      </c>
      <c r="D19" s="19" t="s">
        <v>179</v>
      </c>
      <c r="E19" s="26" t="s">
        <v>15</v>
      </c>
      <c r="F19" s="27"/>
      <c r="G19" s="27"/>
      <c r="H19" s="28"/>
    </row>
    <row r="20" customFormat="false" ht="21.75" hidden="false" customHeight="true" outlineLevel="0" collapsed="false">
      <c r="A20" s="23" t="s">
        <v>76</v>
      </c>
      <c r="B20" s="24"/>
      <c r="C20" s="24"/>
      <c r="D20" s="24"/>
      <c r="E20" s="24"/>
      <c r="F20" s="24"/>
      <c r="G20" s="24"/>
      <c r="H20" s="24"/>
    </row>
    <row r="21" customFormat="false" ht="30.75" hidden="false" customHeight="true" outlineLevel="0" collapsed="false">
      <c r="A21" s="25" t="s">
        <v>480</v>
      </c>
      <c r="B21" s="25" t="s">
        <v>76</v>
      </c>
      <c r="C21" s="17" t="s">
        <v>481</v>
      </c>
      <c r="D21" s="14" t="s">
        <v>126</v>
      </c>
      <c r="E21" s="26" t="s">
        <v>15</v>
      </c>
      <c r="F21" s="27"/>
      <c r="G21" s="27"/>
      <c r="H21" s="28"/>
    </row>
    <row r="22" customFormat="false" ht="18" hidden="false" customHeight="true" outlineLevel="0" collapsed="false">
      <c r="A22" s="25" t="s">
        <v>482</v>
      </c>
      <c r="B22" s="25" t="s">
        <v>76</v>
      </c>
      <c r="C22" s="17" t="s">
        <v>483</v>
      </c>
      <c r="D22" s="14" t="s">
        <v>126</v>
      </c>
      <c r="E22" s="26" t="s">
        <v>15</v>
      </c>
      <c r="F22" s="27"/>
      <c r="G22" s="27"/>
      <c r="H22" s="28"/>
    </row>
    <row r="23" customFormat="false" ht="30.75" hidden="false" customHeight="true" outlineLevel="0" collapsed="false">
      <c r="A23" s="25" t="s">
        <v>484</v>
      </c>
      <c r="B23" s="25" t="s">
        <v>76</v>
      </c>
      <c r="C23" s="17" t="s">
        <v>485</v>
      </c>
      <c r="D23" s="14" t="s">
        <v>126</v>
      </c>
      <c r="E23" s="26" t="s">
        <v>15</v>
      </c>
      <c r="F23" s="27"/>
      <c r="G23" s="27"/>
      <c r="H23" s="28"/>
    </row>
    <row r="24" customFormat="false" ht="18" hidden="false" customHeight="true" outlineLevel="0" collapsed="false">
      <c r="A24" s="25" t="s">
        <v>486</v>
      </c>
      <c r="B24" s="25" t="s">
        <v>76</v>
      </c>
      <c r="C24" s="17" t="s">
        <v>487</v>
      </c>
      <c r="D24" s="14" t="s">
        <v>126</v>
      </c>
      <c r="E24" s="26" t="s">
        <v>15</v>
      </c>
      <c r="F24" s="27"/>
      <c r="G24" s="27"/>
      <c r="H24" s="28"/>
    </row>
    <row r="25" customFormat="false" ht="18" hidden="false" customHeight="true" outlineLevel="0" collapsed="false">
      <c r="A25" s="25" t="s">
        <v>488</v>
      </c>
      <c r="B25" s="25" t="s">
        <v>76</v>
      </c>
      <c r="C25" s="17" t="s">
        <v>489</v>
      </c>
      <c r="D25" s="29" t="s">
        <v>164</v>
      </c>
      <c r="E25" s="26" t="s">
        <v>15</v>
      </c>
      <c r="F25" s="27"/>
      <c r="G25" s="27"/>
      <c r="H25" s="28"/>
    </row>
    <row r="26" customFormat="false" ht="18" hidden="false" customHeight="true" outlineLevel="0" collapsed="false">
      <c r="A26" s="25" t="s">
        <v>490</v>
      </c>
      <c r="B26" s="25" t="s">
        <v>76</v>
      </c>
      <c r="C26" s="17" t="s">
        <v>491</v>
      </c>
      <c r="D26" s="29" t="s">
        <v>164</v>
      </c>
      <c r="E26" s="26" t="s">
        <v>15</v>
      </c>
      <c r="F26" s="27"/>
      <c r="G26" s="27"/>
      <c r="H26" s="28"/>
    </row>
    <row r="27" customFormat="false" ht="18" hidden="false" customHeight="true" outlineLevel="0" collapsed="false">
      <c r="A27" s="25" t="s">
        <v>492</v>
      </c>
      <c r="B27" s="25" t="s">
        <v>76</v>
      </c>
      <c r="C27" s="17" t="s">
        <v>493</v>
      </c>
      <c r="D27" s="29" t="s">
        <v>164</v>
      </c>
      <c r="E27" s="26" t="s">
        <v>15</v>
      </c>
      <c r="F27" s="27"/>
      <c r="G27" s="27"/>
      <c r="H27" s="28"/>
    </row>
    <row r="28" customFormat="false" ht="18" hidden="false" customHeight="true" outlineLevel="0" collapsed="false">
      <c r="A28" s="25" t="s">
        <v>494</v>
      </c>
      <c r="B28" s="25" t="s">
        <v>76</v>
      </c>
      <c r="C28" s="12" t="s">
        <v>495</v>
      </c>
      <c r="D28" s="19" t="s">
        <v>179</v>
      </c>
      <c r="E28" s="26" t="s">
        <v>15</v>
      </c>
      <c r="F28" s="27"/>
      <c r="G28" s="27"/>
      <c r="H28" s="28"/>
    </row>
    <row r="29" customFormat="false" ht="21.75" hidden="false" customHeight="true" outlineLevel="0" collapsed="false">
      <c r="A29" s="23" t="s">
        <v>77</v>
      </c>
      <c r="B29" s="24"/>
      <c r="C29" s="24"/>
      <c r="D29" s="24"/>
      <c r="E29" s="24"/>
      <c r="F29" s="24"/>
      <c r="G29" s="24"/>
      <c r="H29" s="24"/>
    </row>
    <row r="30" customFormat="false" ht="30.75" hidden="false" customHeight="true" outlineLevel="0" collapsed="false">
      <c r="A30" s="25" t="s">
        <v>496</v>
      </c>
      <c r="B30" s="25" t="s">
        <v>77</v>
      </c>
      <c r="C30" s="17" t="s">
        <v>497</v>
      </c>
      <c r="D30" s="14" t="s">
        <v>126</v>
      </c>
      <c r="E30" s="26" t="s">
        <v>15</v>
      </c>
      <c r="F30" s="27"/>
      <c r="G30" s="27"/>
      <c r="H30" s="28"/>
    </row>
    <row r="31" customFormat="false" ht="18" hidden="false" customHeight="true" outlineLevel="0" collapsed="false">
      <c r="A31" s="25" t="s">
        <v>498</v>
      </c>
      <c r="B31" s="25" t="s">
        <v>77</v>
      </c>
      <c r="C31" s="17" t="s">
        <v>499</v>
      </c>
      <c r="D31" s="14" t="s">
        <v>126</v>
      </c>
      <c r="E31" s="26" t="s">
        <v>15</v>
      </c>
      <c r="F31" s="27"/>
      <c r="G31" s="27"/>
      <c r="H31" s="28"/>
    </row>
    <row r="32" customFormat="false" ht="18" hidden="false" customHeight="true" outlineLevel="0" collapsed="false">
      <c r="A32" s="25" t="s">
        <v>500</v>
      </c>
      <c r="B32" s="25" t="s">
        <v>77</v>
      </c>
      <c r="C32" s="17" t="s">
        <v>501</v>
      </c>
      <c r="D32" s="29" t="s">
        <v>164</v>
      </c>
      <c r="E32" s="26" t="s">
        <v>15</v>
      </c>
      <c r="F32" s="27"/>
      <c r="G32" s="27"/>
      <c r="H32" s="28"/>
    </row>
    <row r="33" customFormat="false" ht="18" hidden="false" customHeight="true" outlineLevel="0" collapsed="false">
      <c r="A33" s="25" t="s">
        <v>502</v>
      </c>
      <c r="B33" s="25" t="s">
        <v>77</v>
      </c>
      <c r="C33" s="17" t="s">
        <v>503</v>
      </c>
      <c r="D33" s="29" t="s">
        <v>164</v>
      </c>
      <c r="E33" s="26" t="s">
        <v>15</v>
      </c>
      <c r="F33" s="27"/>
      <c r="G33" s="27"/>
      <c r="H33" s="28"/>
    </row>
    <row r="34" customFormat="false" ht="18" hidden="false" customHeight="true" outlineLevel="0" collapsed="false">
      <c r="A34" s="25" t="s">
        <v>504</v>
      </c>
      <c r="B34" s="25" t="s">
        <v>77</v>
      </c>
      <c r="C34" s="17" t="s">
        <v>505</v>
      </c>
      <c r="D34" s="29" t="s">
        <v>164</v>
      </c>
      <c r="E34" s="26" t="s">
        <v>15</v>
      </c>
      <c r="F34" s="27"/>
      <c r="G34" s="27"/>
      <c r="H34" s="28"/>
    </row>
    <row r="35" customFormat="false" ht="18" hidden="false" customHeight="true" outlineLevel="0" collapsed="false">
      <c r="A35" s="25" t="s">
        <v>506</v>
      </c>
      <c r="B35" s="25" t="s">
        <v>77</v>
      </c>
      <c r="C35" s="17" t="s">
        <v>507</v>
      </c>
      <c r="D35" s="29" t="s">
        <v>164</v>
      </c>
      <c r="E35" s="26" t="s">
        <v>15</v>
      </c>
      <c r="F35" s="27"/>
      <c r="G35" s="27"/>
      <c r="H35" s="28"/>
    </row>
    <row r="36" customFormat="false" ht="30.75" hidden="false" customHeight="true" outlineLevel="0" collapsed="false">
      <c r="A36" s="25" t="s">
        <v>508</v>
      </c>
      <c r="B36" s="25" t="s">
        <v>77</v>
      </c>
      <c r="C36" s="17" t="s">
        <v>509</v>
      </c>
      <c r="D36" s="14" t="s">
        <v>126</v>
      </c>
      <c r="E36" s="26" t="s">
        <v>15</v>
      </c>
      <c r="F36" s="27"/>
      <c r="G36" s="27"/>
      <c r="H36" s="28"/>
    </row>
    <row r="37" customFormat="false" ht="18" hidden="false" customHeight="true" outlineLevel="0" collapsed="false">
      <c r="A37" s="25" t="s">
        <v>510</v>
      </c>
      <c r="B37" s="25" t="s">
        <v>77</v>
      </c>
      <c r="C37" s="12" t="s">
        <v>511</v>
      </c>
      <c r="D37" s="19" t="s">
        <v>179</v>
      </c>
      <c r="E37" s="26" t="s">
        <v>15</v>
      </c>
      <c r="F37" s="27"/>
      <c r="G37" s="27"/>
      <c r="H37" s="28"/>
    </row>
    <row r="38" customFormat="false" ht="21.75" hidden="false" customHeight="true" outlineLevel="0" collapsed="false">
      <c r="A38" s="23" t="s">
        <v>78</v>
      </c>
      <c r="B38" s="24"/>
      <c r="C38" s="24"/>
      <c r="D38" s="24"/>
      <c r="E38" s="24"/>
      <c r="F38" s="24"/>
      <c r="G38" s="24"/>
      <c r="H38" s="24"/>
    </row>
    <row r="39" customFormat="false" ht="30.75" hidden="false" customHeight="true" outlineLevel="0" collapsed="false">
      <c r="A39" s="25" t="s">
        <v>512</v>
      </c>
      <c r="B39" s="25" t="s">
        <v>78</v>
      </c>
      <c r="C39" s="17" t="s">
        <v>513</v>
      </c>
      <c r="D39" s="14" t="s">
        <v>126</v>
      </c>
      <c r="E39" s="26" t="s">
        <v>15</v>
      </c>
      <c r="F39" s="27"/>
      <c r="G39" s="27"/>
      <c r="H39" s="28"/>
    </row>
    <row r="40" customFormat="false" ht="30.75" hidden="false" customHeight="true" outlineLevel="0" collapsed="false">
      <c r="A40" s="25" t="s">
        <v>514</v>
      </c>
      <c r="B40" s="25" t="s">
        <v>78</v>
      </c>
      <c r="C40" s="17" t="s">
        <v>515</v>
      </c>
      <c r="D40" s="14" t="s">
        <v>126</v>
      </c>
      <c r="E40" s="26" t="s">
        <v>15</v>
      </c>
      <c r="F40" s="27"/>
      <c r="G40" s="27"/>
      <c r="H40" s="28"/>
    </row>
    <row r="41" customFormat="false" ht="30.75" hidden="false" customHeight="true" outlineLevel="0" collapsed="false">
      <c r="A41" s="25" t="s">
        <v>516</v>
      </c>
      <c r="B41" s="25" t="s">
        <v>78</v>
      </c>
      <c r="C41" s="17" t="s">
        <v>517</v>
      </c>
      <c r="D41" s="14" t="s">
        <v>126</v>
      </c>
      <c r="E41" s="26" t="s">
        <v>15</v>
      </c>
      <c r="F41" s="27"/>
      <c r="G41" s="27"/>
      <c r="H41" s="28"/>
    </row>
    <row r="42" customFormat="false" ht="18" hidden="false" customHeight="true" outlineLevel="0" collapsed="false">
      <c r="A42" s="25" t="s">
        <v>518</v>
      </c>
      <c r="B42" s="25" t="s">
        <v>78</v>
      </c>
      <c r="C42" s="17" t="s">
        <v>519</v>
      </c>
      <c r="D42" s="14" t="s">
        <v>126</v>
      </c>
      <c r="E42" s="26" t="s">
        <v>15</v>
      </c>
      <c r="F42" s="27"/>
      <c r="G42" s="27"/>
      <c r="H42" s="28"/>
    </row>
    <row r="43" customFormat="false" ht="18" hidden="false" customHeight="true" outlineLevel="0" collapsed="false">
      <c r="A43" s="25" t="s">
        <v>520</v>
      </c>
      <c r="B43" s="25" t="s">
        <v>78</v>
      </c>
      <c r="C43" s="12" t="s">
        <v>521</v>
      </c>
      <c r="D43" s="19" t="s">
        <v>179</v>
      </c>
      <c r="E43" s="26" t="s">
        <v>15</v>
      </c>
      <c r="F43" s="27"/>
      <c r="G43" s="27"/>
      <c r="H43" s="28"/>
    </row>
    <row r="44" customFormat="false" ht="21.75" hidden="false" customHeight="true" outlineLevel="0" collapsed="false">
      <c r="A44" s="23" t="s">
        <v>79</v>
      </c>
      <c r="B44" s="24"/>
      <c r="C44" s="24"/>
      <c r="D44" s="24"/>
      <c r="E44" s="24"/>
      <c r="F44" s="24"/>
      <c r="G44" s="24"/>
      <c r="H44" s="24"/>
    </row>
    <row r="45" customFormat="false" ht="30.75" hidden="false" customHeight="true" outlineLevel="0" collapsed="false">
      <c r="A45" s="25" t="s">
        <v>522</v>
      </c>
      <c r="B45" s="25" t="s">
        <v>79</v>
      </c>
      <c r="C45" s="17" t="s">
        <v>523</v>
      </c>
      <c r="D45" s="29" t="s">
        <v>164</v>
      </c>
      <c r="E45" s="26" t="s">
        <v>15</v>
      </c>
      <c r="F45" s="27"/>
      <c r="G45" s="27"/>
      <c r="H45" s="28"/>
    </row>
    <row r="46" customFormat="false" ht="18" hidden="false" customHeight="true" outlineLevel="0" collapsed="false">
      <c r="A46" s="25" t="s">
        <v>524</v>
      </c>
      <c r="B46" s="25" t="s">
        <v>79</v>
      </c>
      <c r="C46" s="17" t="s">
        <v>525</v>
      </c>
      <c r="D46" s="29" t="s">
        <v>164</v>
      </c>
      <c r="E46" s="26" t="s">
        <v>15</v>
      </c>
      <c r="F46" s="27"/>
      <c r="G46" s="27"/>
      <c r="H46" s="28"/>
    </row>
    <row r="47" customFormat="false" ht="18" hidden="false" customHeight="true" outlineLevel="0" collapsed="false">
      <c r="A47" s="25" t="s">
        <v>526</v>
      </c>
      <c r="B47" s="25" t="s">
        <v>79</v>
      </c>
      <c r="C47" s="17" t="s">
        <v>527</v>
      </c>
      <c r="D47" s="29" t="s">
        <v>164</v>
      </c>
      <c r="E47" s="26" t="s">
        <v>15</v>
      </c>
      <c r="F47" s="27"/>
      <c r="G47" s="27"/>
      <c r="H47" s="28"/>
    </row>
    <row r="48" customFormat="false" ht="18" hidden="false" customHeight="true" outlineLevel="0" collapsed="false">
      <c r="A48" s="25" t="s">
        <v>528</v>
      </c>
      <c r="B48" s="25" t="s">
        <v>79</v>
      </c>
      <c r="C48" s="17" t="s">
        <v>529</v>
      </c>
      <c r="D48" s="29" t="s">
        <v>164</v>
      </c>
      <c r="E48" s="26" t="s">
        <v>15</v>
      </c>
      <c r="F48" s="27"/>
      <c r="G48" s="27"/>
      <c r="H48" s="28"/>
    </row>
    <row r="49" customFormat="false" ht="18" hidden="false" customHeight="true" outlineLevel="0" collapsed="false">
      <c r="A49" s="25" t="s">
        <v>530</v>
      </c>
      <c r="B49" s="25" t="s">
        <v>79</v>
      </c>
      <c r="C49" s="17" t="s">
        <v>531</v>
      </c>
      <c r="D49" s="29" t="s">
        <v>164</v>
      </c>
      <c r="E49" s="26" t="s">
        <v>15</v>
      </c>
      <c r="F49" s="27"/>
      <c r="G49" s="27"/>
      <c r="H49" s="28"/>
    </row>
    <row r="50" customFormat="false" ht="18" hidden="false" customHeight="true" outlineLevel="0" collapsed="false">
      <c r="A50" s="25" t="s">
        <v>532</v>
      </c>
      <c r="B50" s="25" t="s">
        <v>79</v>
      </c>
      <c r="C50" s="17" t="s">
        <v>533</v>
      </c>
      <c r="D50" s="14" t="s">
        <v>126</v>
      </c>
      <c r="E50" s="26" t="s">
        <v>15</v>
      </c>
      <c r="F50" s="27"/>
      <c r="G50" s="27"/>
      <c r="H50" s="28"/>
    </row>
    <row r="51" customFormat="false" ht="30.75" hidden="false" customHeight="true" outlineLevel="0" collapsed="false">
      <c r="A51" s="25" t="s">
        <v>534</v>
      </c>
      <c r="B51" s="25" t="s">
        <v>79</v>
      </c>
      <c r="C51" s="17" t="s">
        <v>535</v>
      </c>
      <c r="D51" s="14" t="s">
        <v>126</v>
      </c>
      <c r="E51" s="26" t="s">
        <v>15</v>
      </c>
      <c r="F51" s="27"/>
      <c r="G51" s="27"/>
      <c r="H51" s="28"/>
    </row>
    <row r="52" customFormat="false" ht="18" hidden="false" customHeight="true" outlineLevel="0" collapsed="false">
      <c r="A52" s="25" t="s">
        <v>536</v>
      </c>
      <c r="B52" s="25" t="s">
        <v>79</v>
      </c>
      <c r="C52" s="12" t="s">
        <v>537</v>
      </c>
      <c r="D52" s="19" t="s">
        <v>179</v>
      </c>
      <c r="E52" s="26" t="s">
        <v>15</v>
      </c>
      <c r="F52" s="27"/>
      <c r="G52" s="27"/>
      <c r="H52" s="28"/>
    </row>
    <row r="53" customFormat="false" ht="21.75" hidden="false" customHeight="true" outlineLevel="0" collapsed="false">
      <c r="A53" s="23" t="s">
        <v>80</v>
      </c>
      <c r="B53" s="24"/>
      <c r="C53" s="24"/>
      <c r="D53" s="24"/>
      <c r="E53" s="24"/>
      <c r="F53" s="24"/>
      <c r="G53" s="24"/>
      <c r="H53" s="24"/>
    </row>
    <row r="54" customFormat="false" ht="18" hidden="false" customHeight="true" outlineLevel="0" collapsed="false">
      <c r="A54" s="25" t="s">
        <v>538</v>
      </c>
      <c r="B54" s="25" t="s">
        <v>80</v>
      </c>
      <c r="C54" s="17" t="s">
        <v>539</v>
      </c>
      <c r="D54" s="14" t="s">
        <v>126</v>
      </c>
      <c r="E54" s="26" t="s">
        <v>15</v>
      </c>
      <c r="F54" s="27"/>
      <c r="G54" s="27"/>
      <c r="H54" s="28"/>
    </row>
    <row r="55" customFormat="false" ht="18" hidden="false" customHeight="true" outlineLevel="0" collapsed="false">
      <c r="A55" s="25" t="s">
        <v>540</v>
      </c>
      <c r="B55" s="25" t="s">
        <v>80</v>
      </c>
      <c r="C55" s="17" t="s">
        <v>541</v>
      </c>
      <c r="D55" s="14" t="s">
        <v>126</v>
      </c>
      <c r="E55" s="26" t="s">
        <v>15</v>
      </c>
      <c r="F55" s="27"/>
      <c r="G55" s="27"/>
      <c r="H55" s="28"/>
    </row>
    <row r="56" customFormat="false" ht="18" hidden="false" customHeight="true" outlineLevel="0" collapsed="false">
      <c r="A56" s="25" t="s">
        <v>542</v>
      </c>
      <c r="B56" s="25" t="s">
        <v>80</v>
      </c>
      <c r="C56" s="17" t="s">
        <v>543</v>
      </c>
      <c r="D56" s="14" t="s">
        <v>126</v>
      </c>
      <c r="E56" s="26" t="s">
        <v>15</v>
      </c>
      <c r="F56" s="27"/>
      <c r="G56" s="27"/>
      <c r="H56" s="28"/>
    </row>
    <row r="57" customFormat="false" ht="18" hidden="false" customHeight="true" outlineLevel="0" collapsed="false">
      <c r="A57" s="25" t="s">
        <v>544</v>
      </c>
      <c r="B57" s="25" t="s">
        <v>80</v>
      </c>
      <c r="C57" s="17" t="s">
        <v>545</v>
      </c>
      <c r="D57" s="29" t="s">
        <v>164</v>
      </c>
      <c r="E57" s="26" t="s">
        <v>15</v>
      </c>
      <c r="F57" s="27"/>
      <c r="G57" s="27"/>
      <c r="H57" s="28"/>
    </row>
    <row r="58" customFormat="false" ht="18" hidden="false" customHeight="true" outlineLevel="0" collapsed="false">
      <c r="A58" s="25" t="s">
        <v>546</v>
      </c>
      <c r="B58" s="25" t="s">
        <v>80</v>
      </c>
      <c r="C58" s="17" t="s">
        <v>547</v>
      </c>
      <c r="D58" s="29" t="s">
        <v>164</v>
      </c>
      <c r="E58" s="26" t="s">
        <v>15</v>
      </c>
      <c r="F58" s="27"/>
      <c r="G58" s="27"/>
      <c r="H58" s="28"/>
    </row>
    <row r="59" customFormat="false" ht="18" hidden="false" customHeight="true" outlineLevel="0" collapsed="false">
      <c r="A59" s="25" t="s">
        <v>548</v>
      </c>
      <c r="B59" s="25" t="s">
        <v>80</v>
      </c>
      <c r="C59" s="17" t="s">
        <v>549</v>
      </c>
      <c r="D59" s="29" t="s">
        <v>164</v>
      </c>
      <c r="E59" s="26" t="s">
        <v>15</v>
      </c>
      <c r="F59" s="27"/>
      <c r="G59" s="27"/>
      <c r="H59" s="28"/>
    </row>
    <row r="60" customFormat="false" ht="18" hidden="false" customHeight="true" outlineLevel="0" collapsed="false">
      <c r="A60" s="25" t="s">
        <v>550</v>
      </c>
      <c r="B60" s="25" t="s">
        <v>80</v>
      </c>
      <c r="C60" s="17" t="s">
        <v>551</v>
      </c>
      <c r="D60" s="29" t="s">
        <v>164</v>
      </c>
      <c r="E60" s="26" t="s">
        <v>15</v>
      </c>
      <c r="F60" s="27"/>
      <c r="G60" s="27"/>
      <c r="H60" s="28"/>
    </row>
    <row r="61" customFormat="false" ht="18" hidden="false" customHeight="true" outlineLevel="0" collapsed="false">
      <c r="A61" s="25" t="s">
        <v>552</v>
      </c>
      <c r="B61" s="25" t="s">
        <v>80</v>
      </c>
      <c r="C61" s="17" t="s">
        <v>553</v>
      </c>
      <c r="D61" s="29" t="s">
        <v>164</v>
      </c>
      <c r="E61" s="26" t="s">
        <v>15</v>
      </c>
      <c r="F61" s="27"/>
      <c r="G61" s="27"/>
      <c r="H61" s="28"/>
    </row>
    <row r="62" customFormat="false" ht="18" hidden="false" customHeight="true" outlineLevel="0" collapsed="false">
      <c r="A62" s="25" t="s">
        <v>554</v>
      </c>
      <c r="B62" s="25" t="s">
        <v>80</v>
      </c>
      <c r="C62" s="17" t="s">
        <v>555</v>
      </c>
      <c r="D62" s="14" t="s">
        <v>126</v>
      </c>
      <c r="E62" s="26" t="s">
        <v>15</v>
      </c>
      <c r="F62" s="27"/>
      <c r="G62" s="27"/>
      <c r="H62" s="28"/>
    </row>
    <row r="63" customFormat="false" ht="30.75" hidden="false" customHeight="true" outlineLevel="0" collapsed="false">
      <c r="A63" s="25" t="s">
        <v>556</v>
      </c>
      <c r="B63" s="25" t="s">
        <v>80</v>
      </c>
      <c r="C63" s="12" t="s">
        <v>557</v>
      </c>
      <c r="D63" s="19" t="s">
        <v>179</v>
      </c>
      <c r="E63" s="26" t="s">
        <v>15</v>
      </c>
      <c r="F63" s="27"/>
      <c r="G63" s="27"/>
      <c r="H63" s="28"/>
    </row>
    <row r="64" customFormat="false" ht="21.75" hidden="false" customHeight="true" outlineLevel="0" collapsed="false">
      <c r="A64" s="23" t="s">
        <v>81</v>
      </c>
      <c r="B64" s="24"/>
      <c r="C64" s="24"/>
      <c r="D64" s="24"/>
      <c r="E64" s="24"/>
      <c r="F64" s="24"/>
      <c r="G64" s="24"/>
      <c r="H64" s="24"/>
    </row>
    <row r="65" customFormat="false" ht="18" hidden="false" customHeight="true" outlineLevel="0" collapsed="false">
      <c r="A65" s="25" t="s">
        <v>558</v>
      </c>
      <c r="B65" s="25" t="s">
        <v>81</v>
      </c>
      <c r="C65" s="17" t="s">
        <v>559</v>
      </c>
      <c r="D65" s="14" t="s">
        <v>126</v>
      </c>
      <c r="E65" s="26" t="s">
        <v>15</v>
      </c>
      <c r="F65" s="27"/>
      <c r="G65" s="27"/>
      <c r="H65" s="28"/>
    </row>
    <row r="66" customFormat="false" ht="18" hidden="false" customHeight="true" outlineLevel="0" collapsed="false">
      <c r="A66" s="25" t="s">
        <v>560</v>
      </c>
      <c r="B66" s="25" t="s">
        <v>81</v>
      </c>
      <c r="C66" s="17" t="s">
        <v>561</v>
      </c>
      <c r="D66" s="29" t="s">
        <v>164</v>
      </c>
      <c r="E66" s="26" t="s">
        <v>15</v>
      </c>
      <c r="F66" s="27"/>
      <c r="G66" s="27"/>
      <c r="H66" s="28"/>
    </row>
    <row r="67" customFormat="false" ht="18" hidden="false" customHeight="true" outlineLevel="0" collapsed="false">
      <c r="A67" s="25" t="s">
        <v>562</v>
      </c>
      <c r="B67" s="25" t="s">
        <v>81</v>
      </c>
      <c r="C67" s="17" t="s">
        <v>563</v>
      </c>
      <c r="D67" s="29" t="s">
        <v>164</v>
      </c>
      <c r="E67" s="26" t="s">
        <v>15</v>
      </c>
      <c r="F67" s="27"/>
      <c r="G67" s="27"/>
      <c r="H67" s="28"/>
    </row>
    <row r="68" customFormat="false" ht="18" hidden="false" customHeight="true" outlineLevel="0" collapsed="false">
      <c r="A68" s="25" t="s">
        <v>564</v>
      </c>
      <c r="B68" s="25" t="s">
        <v>81</v>
      </c>
      <c r="C68" s="17" t="s">
        <v>565</v>
      </c>
      <c r="D68" s="29" t="s">
        <v>164</v>
      </c>
      <c r="E68" s="26" t="s">
        <v>15</v>
      </c>
      <c r="F68" s="27"/>
      <c r="G68" s="27"/>
      <c r="H68" s="28"/>
    </row>
    <row r="69" customFormat="false" ht="18" hidden="false" customHeight="true" outlineLevel="0" collapsed="false">
      <c r="A69" s="25" t="s">
        <v>566</v>
      </c>
      <c r="B69" s="25" t="s">
        <v>81</v>
      </c>
      <c r="C69" s="17" t="s">
        <v>567</v>
      </c>
      <c r="D69" s="29" t="s">
        <v>164</v>
      </c>
      <c r="E69" s="26" t="s">
        <v>15</v>
      </c>
      <c r="F69" s="27"/>
      <c r="G69" s="27"/>
      <c r="H69" s="28"/>
    </row>
    <row r="70" customFormat="false" ht="18" hidden="false" customHeight="true" outlineLevel="0" collapsed="false">
      <c r="A70" s="25" t="s">
        <v>568</v>
      </c>
      <c r="B70" s="25" t="s">
        <v>81</v>
      </c>
      <c r="C70" s="17" t="s">
        <v>569</v>
      </c>
      <c r="D70" s="14" t="s">
        <v>126</v>
      </c>
      <c r="E70" s="26" t="s">
        <v>15</v>
      </c>
      <c r="F70" s="27"/>
      <c r="G70" s="27"/>
      <c r="H70" s="28"/>
    </row>
    <row r="71" customFormat="false" ht="18" hidden="false" customHeight="true" outlineLevel="0" collapsed="false">
      <c r="A71" s="25" t="s">
        <v>570</v>
      </c>
      <c r="B71" s="25" t="s">
        <v>81</v>
      </c>
      <c r="C71" s="17" t="s">
        <v>571</v>
      </c>
      <c r="D71" s="14" t="s">
        <v>126</v>
      </c>
      <c r="E71" s="26" t="s">
        <v>15</v>
      </c>
      <c r="F71" s="27"/>
      <c r="G71" s="27"/>
      <c r="H71" s="28"/>
    </row>
    <row r="72" customFormat="false" ht="18" hidden="false" customHeight="true" outlineLevel="0" collapsed="false">
      <c r="A72" s="25" t="s">
        <v>572</v>
      </c>
      <c r="B72" s="25" t="s">
        <v>81</v>
      </c>
      <c r="C72" s="12" t="s">
        <v>573</v>
      </c>
      <c r="D72" s="19" t="s">
        <v>179</v>
      </c>
      <c r="E72" s="26" t="s">
        <v>15</v>
      </c>
      <c r="F72" s="27"/>
      <c r="G72" s="27"/>
      <c r="H72" s="28"/>
    </row>
    <row r="73" customFormat="false" ht="21.75" hidden="false" customHeight="true" outlineLevel="0" collapsed="false">
      <c r="A73" s="23" t="s">
        <v>82</v>
      </c>
      <c r="B73" s="24"/>
      <c r="C73" s="24"/>
      <c r="D73" s="24"/>
      <c r="E73" s="24"/>
      <c r="F73" s="24"/>
      <c r="G73" s="24"/>
      <c r="H73" s="24"/>
    </row>
    <row r="74" customFormat="false" ht="18" hidden="false" customHeight="true" outlineLevel="0" collapsed="false">
      <c r="A74" s="25" t="s">
        <v>574</v>
      </c>
      <c r="B74" s="25" t="s">
        <v>82</v>
      </c>
      <c r="C74" s="17" t="s">
        <v>575</v>
      </c>
      <c r="D74" s="14" t="s">
        <v>126</v>
      </c>
      <c r="E74" s="26" t="s">
        <v>15</v>
      </c>
      <c r="F74" s="27"/>
      <c r="G74" s="27"/>
      <c r="H74" s="28"/>
    </row>
    <row r="75" customFormat="false" ht="18" hidden="false" customHeight="true" outlineLevel="0" collapsed="false">
      <c r="A75" s="25" t="s">
        <v>576</v>
      </c>
      <c r="B75" s="25" t="s">
        <v>82</v>
      </c>
      <c r="C75" s="17" t="s">
        <v>577</v>
      </c>
      <c r="D75" s="14" t="s">
        <v>126</v>
      </c>
      <c r="E75" s="26" t="s">
        <v>15</v>
      </c>
      <c r="F75" s="27"/>
      <c r="G75" s="27"/>
      <c r="H75" s="28"/>
    </row>
    <row r="76" customFormat="false" ht="30.75" hidden="false" customHeight="true" outlineLevel="0" collapsed="false">
      <c r="A76" s="25" t="s">
        <v>578</v>
      </c>
      <c r="B76" s="25" t="s">
        <v>82</v>
      </c>
      <c r="C76" s="17" t="s">
        <v>579</v>
      </c>
      <c r="D76" s="29" t="s">
        <v>164</v>
      </c>
      <c r="E76" s="26" t="s">
        <v>15</v>
      </c>
      <c r="F76" s="27"/>
      <c r="G76" s="27"/>
      <c r="H76" s="28"/>
    </row>
    <row r="77" customFormat="false" ht="30.75" hidden="false" customHeight="true" outlineLevel="0" collapsed="false">
      <c r="A77" s="25" t="s">
        <v>580</v>
      </c>
      <c r="B77" s="25" t="s">
        <v>82</v>
      </c>
      <c r="C77" s="17" t="s">
        <v>581</v>
      </c>
      <c r="D77" s="14" t="s">
        <v>126</v>
      </c>
      <c r="E77" s="26" t="s">
        <v>15</v>
      </c>
      <c r="F77" s="27"/>
      <c r="G77" s="27"/>
      <c r="H77" s="28"/>
    </row>
    <row r="78" customFormat="false" ht="18" hidden="false" customHeight="true" outlineLevel="0" collapsed="false">
      <c r="A78" s="25" t="s">
        <v>582</v>
      </c>
      <c r="B78" s="25" t="s">
        <v>82</v>
      </c>
      <c r="C78" s="12" t="s">
        <v>583</v>
      </c>
      <c r="D78" s="19" t="s">
        <v>179</v>
      </c>
      <c r="E78" s="26" t="s">
        <v>15</v>
      </c>
      <c r="F78" s="27"/>
      <c r="G78" s="27"/>
      <c r="H78" s="28"/>
    </row>
    <row r="79" customFormat="false" ht="21.75" hidden="false" customHeight="true" outlineLevel="0" collapsed="false">
      <c r="A79" s="23" t="s">
        <v>83</v>
      </c>
      <c r="B79" s="24"/>
      <c r="C79" s="24"/>
      <c r="D79" s="24"/>
      <c r="E79" s="24"/>
      <c r="F79" s="24"/>
      <c r="G79" s="24"/>
      <c r="H79" s="24"/>
    </row>
    <row r="80" customFormat="false" ht="18" hidden="false" customHeight="true" outlineLevel="0" collapsed="false">
      <c r="A80" s="25" t="s">
        <v>584</v>
      </c>
      <c r="B80" s="25" t="s">
        <v>83</v>
      </c>
      <c r="C80" s="17" t="s">
        <v>585</v>
      </c>
      <c r="D80" s="14" t="s">
        <v>126</v>
      </c>
      <c r="E80" s="26" t="s">
        <v>15</v>
      </c>
      <c r="F80" s="27"/>
      <c r="G80" s="27"/>
      <c r="H80" s="28"/>
    </row>
    <row r="81" customFormat="false" ht="18" hidden="false" customHeight="true" outlineLevel="0" collapsed="false">
      <c r="A81" s="25" t="s">
        <v>586</v>
      </c>
      <c r="B81" s="25" t="s">
        <v>83</v>
      </c>
      <c r="C81" s="17" t="s">
        <v>587</v>
      </c>
      <c r="D81" s="14" t="s">
        <v>126</v>
      </c>
      <c r="E81" s="26" t="s">
        <v>15</v>
      </c>
      <c r="F81" s="27"/>
      <c r="G81" s="27"/>
      <c r="H81" s="28"/>
    </row>
    <row r="82" customFormat="false" ht="18" hidden="false" customHeight="true" outlineLevel="0" collapsed="false">
      <c r="A82" s="25" t="s">
        <v>588</v>
      </c>
      <c r="B82" s="25" t="s">
        <v>83</v>
      </c>
      <c r="C82" s="17" t="s">
        <v>589</v>
      </c>
      <c r="D82" s="14" t="s">
        <v>126</v>
      </c>
      <c r="E82" s="26" t="s">
        <v>15</v>
      </c>
      <c r="F82" s="27"/>
      <c r="G82" s="27"/>
      <c r="H82" s="28"/>
    </row>
    <row r="83" customFormat="false" ht="18" hidden="false" customHeight="true" outlineLevel="0" collapsed="false">
      <c r="A83" s="25" t="s">
        <v>590</v>
      </c>
      <c r="B83" s="25" t="s">
        <v>83</v>
      </c>
      <c r="C83" s="17" t="s">
        <v>591</v>
      </c>
      <c r="D83" s="29" t="s">
        <v>164</v>
      </c>
      <c r="E83" s="26" t="s">
        <v>15</v>
      </c>
      <c r="F83" s="27"/>
      <c r="G83" s="27"/>
      <c r="H83" s="28"/>
    </row>
    <row r="84" customFormat="false" ht="18" hidden="false" customHeight="true" outlineLevel="0" collapsed="false">
      <c r="A84" s="25" t="s">
        <v>592</v>
      </c>
      <c r="B84" s="25" t="s">
        <v>83</v>
      </c>
      <c r="C84" s="17" t="s">
        <v>593</v>
      </c>
      <c r="D84" s="29" t="s">
        <v>164</v>
      </c>
      <c r="E84" s="26" t="s">
        <v>15</v>
      </c>
      <c r="F84" s="27"/>
      <c r="G84" s="27"/>
      <c r="H84" s="28"/>
    </row>
    <row r="85" customFormat="false" ht="18" hidden="false" customHeight="true" outlineLevel="0" collapsed="false">
      <c r="A85" s="25" t="s">
        <v>594</v>
      </c>
      <c r="B85" s="25" t="s">
        <v>83</v>
      </c>
      <c r="C85" s="17" t="s">
        <v>595</v>
      </c>
      <c r="D85" s="29" t="s">
        <v>164</v>
      </c>
      <c r="E85" s="26" t="s">
        <v>15</v>
      </c>
      <c r="F85" s="27"/>
      <c r="G85" s="27"/>
      <c r="H85" s="28"/>
    </row>
    <row r="86" customFormat="false" ht="18" hidden="false" customHeight="true" outlineLevel="0" collapsed="false">
      <c r="A86" s="25" t="s">
        <v>596</v>
      </c>
      <c r="B86" s="25" t="s">
        <v>83</v>
      </c>
      <c r="C86" s="17" t="s">
        <v>597</v>
      </c>
      <c r="D86" s="29" t="s">
        <v>164</v>
      </c>
      <c r="E86" s="26" t="s">
        <v>15</v>
      </c>
      <c r="F86" s="27"/>
      <c r="G86" s="27"/>
      <c r="H86" s="28"/>
    </row>
    <row r="87" customFormat="false" ht="18" hidden="false" customHeight="true" outlineLevel="0" collapsed="false">
      <c r="A87" s="25" t="s">
        <v>598</v>
      </c>
      <c r="B87" s="25" t="s">
        <v>83</v>
      </c>
      <c r="C87" s="17" t="s">
        <v>599</v>
      </c>
      <c r="D87" s="29" t="s">
        <v>164</v>
      </c>
      <c r="E87" s="26" t="s">
        <v>15</v>
      </c>
      <c r="F87" s="27"/>
      <c r="G87" s="27"/>
      <c r="H87" s="28"/>
    </row>
    <row r="88" customFormat="false" ht="18" hidden="false" customHeight="true" outlineLevel="0" collapsed="false">
      <c r="A88" s="25" t="s">
        <v>600</v>
      </c>
      <c r="B88" s="25" t="s">
        <v>83</v>
      </c>
      <c r="C88" s="17" t="s">
        <v>601</v>
      </c>
      <c r="D88" s="14" t="s">
        <v>126</v>
      </c>
      <c r="E88" s="26" t="s">
        <v>15</v>
      </c>
      <c r="F88" s="27"/>
      <c r="G88" s="27"/>
      <c r="H88" s="28"/>
    </row>
    <row r="89" customFormat="false" ht="18" hidden="false" customHeight="true" outlineLevel="0" collapsed="false">
      <c r="A89" s="25" t="s">
        <v>602</v>
      </c>
      <c r="B89" s="25" t="s">
        <v>83</v>
      </c>
      <c r="C89" s="12" t="s">
        <v>603</v>
      </c>
      <c r="D89" s="19" t="s">
        <v>179</v>
      </c>
      <c r="E89" s="26" t="s">
        <v>15</v>
      </c>
      <c r="F89" s="27"/>
      <c r="G89" s="27"/>
      <c r="H89" s="28"/>
    </row>
    <row r="90" customFormat="false" ht="21.75" hidden="false" customHeight="true" outlineLevel="0" collapsed="false">
      <c r="A90" s="23" t="s">
        <v>84</v>
      </c>
      <c r="B90" s="24"/>
      <c r="C90" s="24"/>
      <c r="D90" s="24"/>
      <c r="E90" s="24"/>
      <c r="F90" s="24"/>
      <c r="G90" s="24"/>
      <c r="H90" s="24"/>
    </row>
    <row r="91" customFormat="false" ht="30.75" hidden="false" customHeight="true" outlineLevel="0" collapsed="false">
      <c r="A91" s="25" t="s">
        <v>604</v>
      </c>
      <c r="B91" s="25" t="s">
        <v>84</v>
      </c>
      <c r="C91" s="17" t="s">
        <v>605</v>
      </c>
      <c r="D91" s="14" t="s">
        <v>126</v>
      </c>
      <c r="E91" s="26" t="s">
        <v>15</v>
      </c>
      <c r="F91" s="27"/>
      <c r="G91" s="27"/>
      <c r="H91" s="28"/>
    </row>
    <row r="92" customFormat="false" ht="18" hidden="false" customHeight="true" outlineLevel="0" collapsed="false">
      <c r="A92" s="25" t="s">
        <v>606</v>
      </c>
      <c r="B92" s="25" t="s">
        <v>84</v>
      </c>
      <c r="C92" s="17" t="s">
        <v>607</v>
      </c>
      <c r="D92" s="29" t="s">
        <v>164</v>
      </c>
      <c r="E92" s="26" t="s">
        <v>15</v>
      </c>
      <c r="F92" s="27"/>
      <c r="G92" s="27"/>
      <c r="H92" s="28"/>
    </row>
    <row r="93" customFormat="false" ht="18" hidden="false" customHeight="true" outlineLevel="0" collapsed="false">
      <c r="A93" s="25" t="s">
        <v>608</v>
      </c>
      <c r="B93" s="25" t="s">
        <v>84</v>
      </c>
      <c r="C93" s="17" t="s">
        <v>609</v>
      </c>
      <c r="D93" s="29" t="s">
        <v>164</v>
      </c>
      <c r="E93" s="26" t="s">
        <v>15</v>
      </c>
      <c r="F93" s="27"/>
      <c r="G93" s="27"/>
      <c r="H93" s="28"/>
    </row>
    <row r="94" customFormat="false" ht="18" hidden="false" customHeight="true" outlineLevel="0" collapsed="false">
      <c r="A94" s="25" t="s">
        <v>610</v>
      </c>
      <c r="B94" s="25" t="s">
        <v>84</v>
      </c>
      <c r="C94" s="17" t="s">
        <v>611</v>
      </c>
      <c r="D94" s="29" t="s">
        <v>164</v>
      </c>
      <c r="E94" s="26" t="s">
        <v>15</v>
      </c>
      <c r="F94" s="27"/>
      <c r="G94" s="27"/>
      <c r="H94" s="28"/>
    </row>
    <row r="95" customFormat="false" ht="18" hidden="false" customHeight="true" outlineLevel="0" collapsed="false">
      <c r="A95" s="25" t="s">
        <v>612</v>
      </c>
      <c r="B95" s="25" t="s">
        <v>84</v>
      </c>
      <c r="C95" s="17" t="s">
        <v>613</v>
      </c>
      <c r="D95" s="29" t="s">
        <v>164</v>
      </c>
      <c r="E95" s="26" t="s">
        <v>15</v>
      </c>
      <c r="F95" s="27"/>
      <c r="G95" s="27"/>
      <c r="H95" s="28"/>
    </row>
    <row r="96" customFormat="false" ht="18" hidden="false" customHeight="true" outlineLevel="0" collapsed="false">
      <c r="A96" s="25" t="s">
        <v>614</v>
      </c>
      <c r="B96" s="25" t="s">
        <v>84</v>
      </c>
      <c r="C96" s="17" t="s">
        <v>615</v>
      </c>
      <c r="D96" s="14" t="s">
        <v>126</v>
      </c>
      <c r="E96" s="26" t="s">
        <v>15</v>
      </c>
      <c r="F96" s="27"/>
      <c r="G96" s="27"/>
      <c r="H96" s="28"/>
    </row>
    <row r="97" customFormat="false" ht="18" hidden="false" customHeight="true" outlineLevel="0" collapsed="false">
      <c r="A97" s="25" t="s">
        <v>616</v>
      </c>
      <c r="B97" s="25" t="s">
        <v>84</v>
      </c>
      <c r="C97" s="17" t="s">
        <v>617</v>
      </c>
      <c r="D97" s="14" t="s">
        <v>126</v>
      </c>
      <c r="E97" s="26" t="s">
        <v>15</v>
      </c>
      <c r="F97" s="27"/>
      <c r="G97" s="27"/>
      <c r="H97" s="28"/>
    </row>
    <row r="98" customFormat="false" ht="18" hidden="false" customHeight="true" outlineLevel="0" collapsed="false">
      <c r="A98" s="25" t="s">
        <v>618</v>
      </c>
      <c r="B98" s="25" t="s">
        <v>84</v>
      </c>
      <c r="C98" s="12" t="s">
        <v>619</v>
      </c>
      <c r="D98" s="19" t="s">
        <v>179</v>
      </c>
      <c r="E98" s="26" t="s">
        <v>15</v>
      </c>
      <c r="F98" s="27"/>
      <c r="G98" s="27"/>
      <c r="H98" s="28"/>
    </row>
    <row r="99" customFormat="false" ht="21.75" hidden="false" customHeight="true" outlineLevel="0" collapsed="false">
      <c r="A99" s="23" t="s">
        <v>85</v>
      </c>
      <c r="B99" s="24"/>
      <c r="C99" s="24"/>
      <c r="D99" s="24"/>
      <c r="E99" s="24"/>
      <c r="F99" s="24"/>
      <c r="G99" s="24"/>
      <c r="H99" s="24"/>
    </row>
    <row r="100" customFormat="false" ht="18" hidden="false" customHeight="true" outlineLevel="0" collapsed="false">
      <c r="A100" s="25" t="s">
        <v>620</v>
      </c>
      <c r="B100" s="25" t="s">
        <v>85</v>
      </c>
      <c r="C100" s="17" t="s">
        <v>621</v>
      </c>
      <c r="D100" s="14" t="s">
        <v>126</v>
      </c>
      <c r="E100" s="26" t="s">
        <v>15</v>
      </c>
      <c r="F100" s="27"/>
      <c r="G100" s="27"/>
      <c r="H100" s="28"/>
    </row>
    <row r="101" customFormat="false" ht="18" hidden="false" customHeight="true" outlineLevel="0" collapsed="false">
      <c r="A101" s="25" t="s">
        <v>622</v>
      </c>
      <c r="B101" s="25" t="s">
        <v>85</v>
      </c>
      <c r="C101" s="17" t="s">
        <v>623</v>
      </c>
      <c r="D101" s="14" t="s">
        <v>126</v>
      </c>
      <c r="E101" s="26" t="s">
        <v>15</v>
      </c>
      <c r="F101" s="27"/>
      <c r="G101" s="27"/>
      <c r="H101" s="28"/>
    </row>
    <row r="102" customFormat="false" ht="18" hidden="false" customHeight="true" outlineLevel="0" collapsed="false">
      <c r="A102" s="25" t="s">
        <v>624</v>
      </c>
      <c r="B102" s="25" t="s">
        <v>85</v>
      </c>
      <c r="C102" s="17" t="s">
        <v>625</v>
      </c>
      <c r="D102" s="14" t="s">
        <v>126</v>
      </c>
      <c r="E102" s="26" t="s">
        <v>15</v>
      </c>
      <c r="F102" s="27"/>
      <c r="G102" s="27"/>
      <c r="H102" s="28"/>
    </row>
    <row r="103" customFormat="false" ht="18" hidden="false" customHeight="true" outlineLevel="0" collapsed="false">
      <c r="A103" s="25" t="s">
        <v>626</v>
      </c>
      <c r="B103" s="25" t="s">
        <v>85</v>
      </c>
      <c r="C103" s="17" t="s">
        <v>627</v>
      </c>
      <c r="D103" s="14" t="s">
        <v>126</v>
      </c>
      <c r="E103" s="26" t="s">
        <v>15</v>
      </c>
      <c r="F103" s="27"/>
      <c r="G103" s="27"/>
      <c r="H103" s="28"/>
    </row>
    <row r="104" customFormat="false" ht="18" hidden="false" customHeight="true" outlineLevel="0" collapsed="false">
      <c r="A104" s="25" t="s">
        <v>628</v>
      </c>
      <c r="B104" s="25" t="s">
        <v>85</v>
      </c>
      <c r="C104" s="17" t="s">
        <v>629</v>
      </c>
      <c r="D104" s="14" t="s">
        <v>126</v>
      </c>
      <c r="E104" s="26" t="s">
        <v>15</v>
      </c>
      <c r="F104" s="27"/>
      <c r="G104" s="27"/>
      <c r="H104" s="28"/>
    </row>
    <row r="105" customFormat="false" ht="18" hidden="false" customHeight="true" outlineLevel="0" collapsed="false">
      <c r="A105" s="25" t="s">
        <v>630</v>
      </c>
      <c r="B105" s="25" t="s">
        <v>85</v>
      </c>
      <c r="C105" s="17" t="s">
        <v>631</v>
      </c>
      <c r="D105" s="14" t="s">
        <v>126</v>
      </c>
      <c r="E105" s="26" t="s">
        <v>15</v>
      </c>
      <c r="F105" s="27"/>
      <c r="G105" s="27"/>
      <c r="H105" s="28"/>
    </row>
    <row r="106" customFormat="false" ht="18" hidden="false" customHeight="true" outlineLevel="0" collapsed="false">
      <c r="A106" s="25" t="s">
        <v>632</v>
      </c>
      <c r="B106" s="25" t="s">
        <v>85</v>
      </c>
      <c r="C106" s="12" t="s">
        <v>633</v>
      </c>
      <c r="D106" s="19" t="s">
        <v>179</v>
      </c>
      <c r="E106" s="26" t="s">
        <v>15</v>
      </c>
      <c r="F106" s="27"/>
      <c r="G106" s="27"/>
      <c r="H106" s="28"/>
    </row>
    <row r="107" customFormat="false" ht="21.75" hidden="false" customHeight="true" outlineLevel="0" collapsed="false">
      <c r="A107" s="23" t="s">
        <v>86</v>
      </c>
      <c r="B107" s="24"/>
      <c r="C107" s="24"/>
      <c r="D107" s="24"/>
      <c r="E107" s="24"/>
      <c r="F107" s="24"/>
      <c r="G107" s="24"/>
      <c r="H107" s="24"/>
    </row>
    <row r="108" customFormat="false" ht="30.75" hidden="false" customHeight="true" outlineLevel="0" collapsed="false">
      <c r="A108" s="25" t="s">
        <v>634</v>
      </c>
      <c r="B108" s="25" t="s">
        <v>86</v>
      </c>
      <c r="C108" s="17" t="s">
        <v>635</v>
      </c>
      <c r="D108" s="14" t="s">
        <v>126</v>
      </c>
      <c r="E108" s="26" t="s">
        <v>15</v>
      </c>
      <c r="F108" s="27"/>
      <c r="G108" s="27"/>
      <c r="H108" s="28"/>
    </row>
    <row r="109" customFormat="false" ht="30.75" hidden="false" customHeight="true" outlineLevel="0" collapsed="false">
      <c r="A109" s="25" t="s">
        <v>636</v>
      </c>
      <c r="B109" s="25" t="s">
        <v>86</v>
      </c>
      <c r="C109" s="12" t="s">
        <v>637</v>
      </c>
      <c r="D109" s="19" t="s">
        <v>179</v>
      </c>
      <c r="E109" s="26" t="s">
        <v>15</v>
      </c>
      <c r="F109" s="27"/>
      <c r="G109" s="27"/>
      <c r="H109" s="28"/>
    </row>
  </sheetData>
  <autoFilter ref="A5:H109"/>
  <conditionalFormatting sqref="B3">
    <cfRule type="dataBar" priority="2">
      <dataBar showValue="1" minLength="10" maxLength="90">
        <cfvo type="num" val="0"/>
        <cfvo type="num" val="1"/>
        <color rgb="FF70AD47"/>
      </dataBar>
      <extLst>
        <ext xmlns:x14="http://schemas.microsoft.com/office/spreadsheetml/2009/9/main" uri="{B025F937-C7B1-47D3-B67F-A62EFF666E3E}">
          <x14:id>{C6848DAF-CA71-4DDF-B721-BD90DA799356}</x14:id>
        </ext>
      </extLst>
    </cfRule>
  </conditionalFormatting>
  <conditionalFormatting sqref="E6:E109">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109">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12 E14:E19 E21:E28 E30:E37 E39:E43 E45:E52 E54:E63 E65:E72 E74:E78 E80:E89 E91:E98 E100:E106 E108:E109"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6848DAF-CA71-4DDF-B721-BD90DA799356}">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32</v>
      </c>
    </row>
    <row r="2" customFormat="false" ht="15" hidden="false" customHeight="false" outlineLevel="0" collapsed="false">
      <c r="A2" s="2" t="s">
        <v>638</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79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88</v>
      </c>
      <c r="B6" s="24"/>
      <c r="C6" s="24"/>
      <c r="D6" s="24"/>
      <c r="E6" s="24"/>
      <c r="F6" s="24"/>
      <c r="G6" s="24"/>
      <c r="H6" s="24"/>
    </row>
    <row r="7" customFormat="false" ht="30.75" hidden="false" customHeight="true" outlineLevel="0" collapsed="false">
      <c r="A7" s="25" t="s">
        <v>639</v>
      </c>
      <c r="B7" s="25" t="s">
        <v>88</v>
      </c>
      <c r="C7" s="17" t="s">
        <v>640</v>
      </c>
      <c r="D7" s="14" t="s">
        <v>126</v>
      </c>
      <c r="E7" s="26" t="s">
        <v>15</v>
      </c>
      <c r="F7" s="27"/>
      <c r="G7" s="27"/>
      <c r="H7" s="28"/>
    </row>
    <row r="8" customFormat="false" ht="18" hidden="false" customHeight="true" outlineLevel="0" collapsed="false">
      <c r="A8" s="25" t="s">
        <v>641</v>
      </c>
      <c r="B8" s="25" t="s">
        <v>88</v>
      </c>
      <c r="C8" s="17" t="s">
        <v>642</v>
      </c>
      <c r="D8" s="14" t="s">
        <v>126</v>
      </c>
      <c r="E8" s="26" t="s">
        <v>15</v>
      </c>
      <c r="F8" s="27"/>
      <c r="G8" s="27"/>
      <c r="H8" s="28"/>
    </row>
    <row r="9" customFormat="false" ht="57" hidden="false" customHeight="true" outlineLevel="0" collapsed="false">
      <c r="A9" s="25" t="s">
        <v>643</v>
      </c>
      <c r="B9" s="25" t="s">
        <v>88</v>
      </c>
      <c r="C9" s="17" t="s">
        <v>644</v>
      </c>
      <c r="D9" s="14" t="s">
        <v>126</v>
      </c>
      <c r="E9" s="26" t="s">
        <v>15</v>
      </c>
      <c r="F9" s="27"/>
      <c r="G9" s="27"/>
      <c r="H9" s="28"/>
    </row>
    <row r="10" customFormat="false" ht="18" hidden="false" customHeight="true" outlineLevel="0" collapsed="false">
      <c r="A10" s="25" t="s">
        <v>645</v>
      </c>
      <c r="B10" s="25" t="s">
        <v>88</v>
      </c>
      <c r="C10" s="17" t="s">
        <v>646</v>
      </c>
      <c r="D10" s="14" t="s">
        <v>126</v>
      </c>
      <c r="E10" s="26" t="s">
        <v>15</v>
      </c>
      <c r="F10" s="27"/>
      <c r="G10" s="27"/>
      <c r="H10" s="28"/>
    </row>
    <row r="11" customFormat="false" ht="18" hidden="false" customHeight="true" outlineLevel="0" collapsed="false">
      <c r="A11" s="25" t="s">
        <v>647</v>
      </c>
      <c r="B11" s="25" t="s">
        <v>88</v>
      </c>
      <c r="C11" s="12" t="s">
        <v>648</v>
      </c>
      <c r="D11" s="19" t="s">
        <v>179</v>
      </c>
      <c r="E11" s="26" t="s">
        <v>15</v>
      </c>
      <c r="F11" s="27"/>
      <c r="G11" s="27"/>
      <c r="H11" s="28"/>
    </row>
    <row r="12" customFormat="false" ht="21.75" hidden="false" customHeight="true" outlineLevel="0" collapsed="false">
      <c r="A12" s="23" t="s">
        <v>89</v>
      </c>
      <c r="B12" s="24"/>
      <c r="C12" s="24"/>
      <c r="D12" s="24"/>
      <c r="E12" s="24"/>
      <c r="F12" s="24"/>
      <c r="G12" s="24"/>
      <c r="H12" s="24"/>
    </row>
    <row r="13" customFormat="false" ht="18" hidden="false" customHeight="true" outlineLevel="0" collapsed="false">
      <c r="A13" s="25" t="s">
        <v>649</v>
      </c>
      <c r="B13" s="25" t="s">
        <v>89</v>
      </c>
      <c r="C13" s="17" t="s">
        <v>650</v>
      </c>
      <c r="D13" s="14" t="s">
        <v>126</v>
      </c>
      <c r="E13" s="26" t="s">
        <v>15</v>
      </c>
      <c r="F13" s="27"/>
      <c r="G13" s="27"/>
      <c r="H13" s="28"/>
    </row>
    <row r="14" customFormat="false" ht="18" hidden="false" customHeight="true" outlineLevel="0" collapsed="false">
      <c r="A14" s="25" t="s">
        <v>651</v>
      </c>
      <c r="B14" s="25" t="s">
        <v>89</v>
      </c>
      <c r="C14" s="17" t="s">
        <v>652</v>
      </c>
      <c r="D14" s="14" t="s">
        <v>126</v>
      </c>
      <c r="E14" s="26" t="s">
        <v>15</v>
      </c>
      <c r="F14" s="27"/>
      <c r="G14" s="27"/>
      <c r="H14" s="28"/>
    </row>
    <row r="15" customFormat="false" ht="30.75" hidden="false" customHeight="true" outlineLevel="0" collapsed="false">
      <c r="A15" s="25" t="s">
        <v>653</v>
      </c>
      <c r="B15" s="25" t="s">
        <v>89</v>
      </c>
      <c r="C15" s="17" t="s">
        <v>654</v>
      </c>
      <c r="D15" s="14" t="s">
        <v>126</v>
      </c>
      <c r="E15" s="26" t="s">
        <v>15</v>
      </c>
      <c r="F15" s="27"/>
      <c r="G15" s="27"/>
      <c r="H15" s="28"/>
    </row>
    <row r="16" customFormat="false" ht="18" hidden="false" customHeight="true" outlineLevel="0" collapsed="false">
      <c r="A16" s="25" t="s">
        <v>655</v>
      </c>
      <c r="B16" s="25" t="s">
        <v>89</v>
      </c>
      <c r="C16" s="17" t="s">
        <v>656</v>
      </c>
      <c r="D16" s="14" t="s">
        <v>126</v>
      </c>
      <c r="E16" s="26" t="s">
        <v>15</v>
      </c>
      <c r="F16" s="27"/>
      <c r="G16" s="27"/>
      <c r="H16" s="28"/>
    </row>
    <row r="17" customFormat="false" ht="18" hidden="false" customHeight="true" outlineLevel="0" collapsed="false">
      <c r="A17" s="25" t="s">
        <v>657</v>
      </c>
      <c r="B17" s="25" t="s">
        <v>89</v>
      </c>
      <c r="C17" s="17" t="s">
        <v>658</v>
      </c>
      <c r="D17" s="14" t="s">
        <v>126</v>
      </c>
      <c r="E17" s="26" t="s">
        <v>15</v>
      </c>
      <c r="F17" s="27"/>
      <c r="G17" s="27"/>
      <c r="H17" s="28"/>
    </row>
    <row r="18" customFormat="false" ht="18" hidden="false" customHeight="true" outlineLevel="0" collapsed="false">
      <c r="A18" s="25" t="s">
        <v>659</v>
      </c>
      <c r="B18" s="25" t="s">
        <v>89</v>
      </c>
      <c r="C18" s="17" t="s">
        <v>660</v>
      </c>
      <c r="D18" s="14" t="s">
        <v>126</v>
      </c>
      <c r="E18" s="26" t="s">
        <v>15</v>
      </c>
      <c r="F18" s="27"/>
      <c r="G18" s="27"/>
      <c r="H18" s="28"/>
    </row>
    <row r="19" customFormat="false" ht="18" hidden="false" customHeight="true" outlineLevel="0" collapsed="false">
      <c r="A19" s="25" t="s">
        <v>661</v>
      </c>
      <c r="B19" s="25" t="s">
        <v>89</v>
      </c>
      <c r="C19" s="17" t="s">
        <v>662</v>
      </c>
      <c r="D19" s="14" t="s">
        <v>126</v>
      </c>
      <c r="E19" s="26" t="s">
        <v>15</v>
      </c>
      <c r="F19" s="27"/>
      <c r="G19" s="27"/>
      <c r="H19" s="28"/>
    </row>
    <row r="20" customFormat="false" ht="18" hidden="false" customHeight="true" outlineLevel="0" collapsed="false">
      <c r="A20" s="25" t="s">
        <v>663</v>
      </c>
      <c r="B20" s="25" t="s">
        <v>89</v>
      </c>
      <c r="C20" s="12" t="s">
        <v>664</v>
      </c>
      <c r="D20" s="19" t="s">
        <v>179</v>
      </c>
      <c r="E20" s="26" t="s">
        <v>15</v>
      </c>
      <c r="F20" s="27"/>
      <c r="G20" s="27"/>
      <c r="H20" s="28"/>
    </row>
    <row r="21" customFormat="false" ht="21.75" hidden="false" customHeight="true" outlineLevel="0" collapsed="false">
      <c r="A21" s="23" t="s">
        <v>90</v>
      </c>
      <c r="B21" s="24"/>
      <c r="C21" s="24"/>
      <c r="D21" s="24"/>
      <c r="E21" s="24"/>
      <c r="F21" s="24"/>
      <c r="G21" s="24"/>
      <c r="H21" s="24"/>
    </row>
    <row r="22" customFormat="false" ht="30.75" hidden="false" customHeight="true" outlineLevel="0" collapsed="false">
      <c r="A22" s="25" t="s">
        <v>665</v>
      </c>
      <c r="B22" s="25" t="s">
        <v>90</v>
      </c>
      <c r="C22" s="17" t="s">
        <v>666</v>
      </c>
      <c r="D22" s="14" t="s">
        <v>126</v>
      </c>
      <c r="E22" s="26" t="s">
        <v>15</v>
      </c>
      <c r="F22" s="27"/>
      <c r="G22" s="27"/>
      <c r="H22" s="28"/>
    </row>
    <row r="23" customFormat="false" ht="30.75" hidden="false" customHeight="true" outlineLevel="0" collapsed="false">
      <c r="A23" s="25" t="s">
        <v>667</v>
      </c>
      <c r="B23" s="25" t="s">
        <v>90</v>
      </c>
      <c r="C23" s="17" t="s">
        <v>668</v>
      </c>
      <c r="D23" s="14" t="s">
        <v>126</v>
      </c>
      <c r="E23" s="26" t="s">
        <v>15</v>
      </c>
      <c r="F23" s="27"/>
      <c r="G23" s="27"/>
      <c r="H23" s="28"/>
    </row>
    <row r="24" customFormat="false" ht="18" hidden="false" customHeight="true" outlineLevel="0" collapsed="false">
      <c r="A24" s="25" t="s">
        <v>669</v>
      </c>
      <c r="B24" s="25" t="s">
        <v>90</v>
      </c>
      <c r="C24" s="17" t="s">
        <v>670</v>
      </c>
      <c r="D24" s="14" t="s">
        <v>126</v>
      </c>
      <c r="E24" s="26" t="s">
        <v>15</v>
      </c>
      <c r="F24" s="27"/>
      <c r="G24" s="27"/>
      <c r="H24" s="28"/>
    </row>
    <row r="25" customFormat="false" ht="18" hidden="false" customHeight="true" outlineLevel="0" collapsed="false">
      <c r="A25" s="25" t="s">
        <v>671</v>
      </c>
      <c r="B25" s="25" t="s">
        <v>90</v>
      </c>
      <c r="C25" s="17" t="s">
        <v>672</v>
      </c>
      <c r="D25" s="14" t="s">
        <v>126</v>
      </c>
      <c r="E25" s="26" t="s">
        <v>15</v>
      </c>
      <c r="F25" s="27"/>
      <c r="G25" s="27"/>
      <c r="H25" s="28"/>
    </row>
    <row r="26" customFormat="false" ht="18" hidden="false" customHeight="true" outlineLevel="0" collapsed="false">
      <c r="A26" s="25" t="s">
        <v>673</v>
      </c>
      <c r="B26" s="25" t="s">
        <v>90</v>
      </c>
      <c r="C26" s="17" t="s">
        <v>674</v>
      </c>
      <c r="D26" s="14" t="s">
        <v>126</v>
      </c>
      <c r="E26" s="26" t="s">
        <v>15</v>
      </c>
      <c r="F26" s="27"/>
      <c r="G26" s="27"/>
      <c r="H26" s="28"/>
    </row>
    <row r="27" customFormat="false" ht="18" hidden="false" customHeight="true" outlineLevel="0" collapsed="false">
      <c r="A27" s="25" t="s">
        <v>675</v>
      </c>
      <c r="B27" s="25" t="s">
        <v>90</v>
      </c>
      <c r="C27" s="17" t="s">
        <v>676</v>
      </c>
      <c r="D27" s="14" t="s">
        <v>126</v>
      </c>
      <c r="E27" s="26" t="s">
        <v>15</v>
      </c>
      <c r="F27" s="27"/>
      <c r="G27" s="27"/>
      <c r="H27" s="28"/>
    </row>
    <row r="28" customFormat="false" ht="18" hidden="false" customHeight="true" outlineLevel="0" collapsed="false">
      <c r="A28" s="25" t="s">
        <v>677</v>
      </c>
      <c r="B28" s="25" t="s">
        <v>90</v>
      </c>
      <c r="C28" s="17" t="s">
        <v>678</v>
      </c>
      <c r="D28" s="29" t="s">
        <v>164</v>
      </c>
      <c r="E28" s="26" t="s">
        <v>15</v>
      </c>
      <c r="F28" s="27"/>
      <c r="G28" s="27"/>
      <c r="H28" s="28"/>
    </row>
    <row r="29" customFormat="false" ht="18" hidden="false" customHeight="true" outlineLevel="0" collapsed="false">
      <c r="A29" s="25" t="s">
        <v>679</v>
      </c>
      <c r="B29" s="25" t="s">
        <v>90</v>
      </c>
      <c r="C29" s="17" t="s">
        <v>680</v>
      </c>
      <c r="D29" s="29" t="s">
        <v>164</v>
      </c>
      <c r="E29" s="26" t="s">
        <v>15</v>
      </c>
      <c r="F29" s="27"/>
      <c r="G29" s="27"/>
      <c r="H29" s="28"/>
    </row>
    <row r="30" customFormat="false" ht="18" hidden="false" customHeight="true" outlineLevel="0" collapsed="false">
      <c r="A30" s="25" t="s">
        <v>681</v>
      </c>
      <c r="B30" s="25" t="s">
        <v>90</v>
      </c>
      <c r="C30" s="17" t="s">
        <v>682</v>
      </c>
      <c r="D30" s="29" t="s">
        <v>164</v>
      </c>
      <c r="E30" s="26" t="s">
        <v>15</v>
      </c>
      <c r="F30" s="27"/>
      <c r="G30" s="27"/>
      <c r="H30" s="28"/>
    </row>
    <row r="31" customFormat="false" ht="18" hidden="false" customHeight="true" outlineLevel="0" collapsed="false">
      <c r="A31" s="25" t="s">
        <v>683</v>
      </c>
      <c r="B31" s="25" t="s">
        <v>90</v>
      </c>
      <c r="C31" s="12" t="s">
        <v>684</v>
      </c>
      <c r="D31" s="19" t="s">
        <v>179</v>
      </c>
      <c r="E31" s="26" t="s">
        <v>15</v>
      </c>
      <c r="F31" s="27"/>
      <c r="G31" s="27"/>
      <c r="H31" s="28"/>
    </row>
    <row r="32" customFormat="false" ht="21.75" hidden="false" customHeight="true" outlineLevel="0" collapsed="false">
      <c r="A32" s="23" t="s">
        <v>91</v>
      </c>
      <c r="B32" s="24"/>
      <c r="C32" s="24"/>
      <c r="D32" s="24"/>
      <c r="E32" s="24"/>
      <c r="F32" s="24"/>
      <c r="G32" s="24"/>
      <c r="H32" s="24"/>
    </row>
    <row r="33" customFormat="false" ht="30.75" hidden="false" customHeight="true" outlineLevel="0" collapsed="false">
      <c r="A33" s="25" t="s">
        <v>685</v>
      </c>
      <c r="B33" s="25" t="s">
        <v>91</v>
      </c>
      <c r="C33" s="17" t="s">
        <v>686</v>
      </c>
      <c r="D33" s="14" t="s">
        <v>126</v>
      </c>
      <c r="E33" s="26" t="s">
        <v>15</v>
      </c>
      <c r="F33" s="27"/>
      <c r="G33" s="27"/>
      <c r="H33" s="28"/>
    </row>
    <row r="34" customFormat="false" ht="18" hidden="false" customHeight="true" outlineLevel="0" collapsed="false">
      <c r="A34" s="25" t="s">
        <v>687</v>
      </c>
      <c r="B34" s="25" t="s">
        <v>91</v>
      </c>
      <c r="C34" s="17" t="s">
        <v>688</v>
      </c>
      <c r="D34" s="29" t="s">
        <v>164</v>
      </c>
      <c r="E34" s="26" t="s">
        <v>15</v>
      </c>
      <c r="F34" s="27"/>
      <c r="G34" s="27"/>
      <c r="H34" s="28"/>
    </row>
    <row r="35" customFormat="false" ht="30.75" hidden="false" customHeight="true" outlineLevel="0" collapsed="false">
      <c r="A35" s="25" t="s">
        <v>689</v>
      </c>
      <c r="B35" s="25" t="s">
        <v>91</v>
      </c>
      <c r="C35" s="17" t="s">
        <v>690</v>
      </c>
      <c r="D35" s="14" t="s">
        <v>126</v>
      </c>
      <c r="E35" s="26" t="s">
        <v>15</v>
      </c>
      <c r="F35" s="27"/>
      <c r="G35" s="27"/>
      <c r="H35" s="28"/>
    </row>
    <row r="36" customFormat="false" ht="18" hidden="false" customHeight="true" outlineLevel="0" collapsed="false">
      <c r="A36" s="25" t="s">
        <v>691</v>
      </c>
      <c r="B36" s="25" t="s">
        <v>91</v>
      </c>
      <c r="C36" s="17" t="s">
        <v>692</v>
      </c>
      <c r="D36" s="14" t="s">
        <v>126</v>
      </c>
      <c r="E36" s="26" t="s">
        <v>15</v>
      </c>
      <c r="F36" s="27"/>
      <c r="G36" s="27"/>
      <c r="H36" s="28"/>
    </row>
    <row r="37" customFormat="false" ht="18" hidden="false" customHeight="true" outlineLevel="0" collapsed="false">
      <c r="A37" s="25" t="s">
        <v>693</v>
      </c>
      <c r="B37" s="25" t="s">
        <v>91</v>
      </c>
      <c r="C37" s="12" t="s">
        <v>694</v>
      </c>
      <c r="D37" s="19" t="s">
        <v>179</v>
      </c>
      <c r="E37" s="26" t="s">
        <v>15</v>
      </c>
      <c r="F37" s="27"/>
      <c r="G37" s="27"/>
      <c r="H37" s="28"/>
    </row>
    <row r="38" customFormat="false" ht="21.75" hidden="false" customHeight="true" outlineLevel="0" collapsed="false">
      <c r="A38" s="23" t="s">
        <v>92</v>
      </c>
      <c r="B38" s="24"/>
      <c r="C38" s="24"/>
      <c r="D38" s="24"/>
      <c r="E38" s="24"/>
      <c r="F38" s="24"/>
      <c r="G38" s="24"/>
      <c r="H38" s="24"/>
    </row>
    <row r="39" customFormat="false" ht="18" hidden="false" customHeight="true" outlineLevel="0" collapsed="false">
      <c r="A39" s="25" t="s">
        <v>695</v>
      </c>
      <c r="B39" s="25" t="s">
        <v>92</v>
      </c>
      <c r="C39" s="17" t="s">
        <v>696</v>
      </c>
      <c r="D39" s="14" t="s">
        <v>126</v>
      </c>
      <c r="E39" s="26" t="s">
        <v>15</v>
      </c>
      <c r="F39" s="27"/>
      <c r="G39" s="27"/>
      <c r="H39" s="28"/>
    </row>
    <row r="40" customFormat="false" ht="18" hidden="false" customHeight="true" outlineLevel="0" collapsed="false">
      <c r="A40" s="25" t="s">
        <v>697</v>
      </c>
      <c r="B40" s="25" t="s">
        <v>92</v>
      </c>
      <c r="C40" s="17" t="s">
        <v>698</v>
      </c>
      <c r="D40" s="14" t="s">
        <v>126</v>
      </c>
      <c r="E40" s="26" t="s">
        <v>15</v>
      </c>
      <c r="F40" s="27"/>
      <c r="G40" s="27"/>
      <c r="H40" s="28"/>
    </row>
    <row r="41" customFormat="false" ht="18" hidden="false" customHeight="true" outlineLevel="0" collapsed="false">
      <c r="A41" s="25" t="s">
        <v>699</v>
      </c>
      <c r="B41" s="25" t="s">
        <v>92</v>
      </c>
      <c r="C41" s="17" t="s">
        <v>700</v>
      </c>
      <c r="D41" s="14" t="s">
        <v>126</v>
      </c>
      <c r="E41" s="26" t="s">
        <v>15</v>
      </c>
      <c r="F41" s="27"/>
      <c r="G41" s="27"/>
      <c r="H41" s="28"/>
    </row>
    <row r="42" customFormat="false" ht="18" hidden="false" customHeight="true" outlineLevel="0" collapsed="false">
      <c r="A42" s="25" t="s">
        <v>701</v>
      </c>
      <c r="B42" s="25" t="s">
        <v>92</v>
      </c>
      <c r="C42" s="17" t="s">
        <v>702</v>
      </c>
      <c r="D42" s="29" t="s">
        <v>164</v>
      </c>
      <c r="E42" s="26" t="s">
        <v>15</v>
      </c>
      <c r="F42" s="27"/>
      <c r="G42" s="27"/>
      <c r="H42" s="28"/>
    </row>
    <row r="43" customFormat="false" ht="18" hidden="false" customHeight="true" outlineLevel="0" collapsed="false">
      <c r="A43" s="25" t="s">
        <v>703</v>
      </c>
      <c r="B43" s="25" t="s">
        <v>92</v>
      </c>
      <c r="C43" s="17" t="s">
        <v>704</v>
      </c>
      <c r="D43" s="29" t="s">
        <v>164</v>
      </c>
      <c r="E43" s="26" t="s">
        <v>15</v>
      </c>
      <c r="F43" s="27"/>
      <c r="G43" s="27"/>
      <c r="H43" s="28"/>
    </row>
    <row r="44" customFormat="false" ht="18" hidden="false" customHeight="true" outlineLevel="0" collapsed="false">
      <c r="A44" s="25" t="s">
        <v>705</v>
      </c>
      <c r="B44" s="25" t="s">
        <v>92</v>
      </c>
      <c r="C44" s="17" t="s">
        <v>706</v>
      </c>
      <c r="D44" s="14" t="s">
        <v>126</v>
      </c>
      <c r="E44" s="26" t="s">
        <v>15</v>
      </c>
      <c r="F44" s="27"/>
      <c r="G44" s="27"/>
      <c r="H44" s="28"/>
    </row>
    <row r="45" customFormat="false" ht="18" hidden="false" customHeight="true" outlineLevel="0" collapsed="false">
      <c r="A45" s="25" t="s">
        <v>707</v>
      </c>
      <c r="B45" s="25" t="s">
        <v>92</v>
      </c>
      <c r="C45" s="12" t="s">
        <v>708</v>
      </c>
      <c r="D45" s="19" t="s">
        <v>179</v>
      </c>
      <c r="E45" s="26" t="s">
        <v>15</v>
      </c>
      <c r="F45" s="27"/>
      <c r="G45" s="27"/>
      <c r="H45" s="28"/>
    </row>
    <row r="46" customFormat="false" ht="21.75" hidden="false" customHeight="true" outlineLevel="0" collapsed="false">
      <c r="A46" s="23" t="s">
        <v>93</v>
      </c>
      <c r="B46" s="24"/>
      <c r="C46" s="24"/>
      <c r="D46" s="24"/>
      <c r="E46" s="24"/>
      <c r="F46" s="24"/>
      <c r="G46" s="24"/>
      <c r="H46" s="24"/>
    </row>
    <row r="47" customFormat="false" ht="18" hidden="false" customHeight="true" outlineLevel="0" collapsed="false">
      <c r="A47" s="25" t="s">
        <v>709</v>
      </c>
      <c r="B47" s="25" t="s">
        <v>93</v>
      </c>
      <c r="C47" s="17" t="s">
        <v>710</v>
      </c>
      <c r="D47" s="29" t="s">
        <v>164</v>
      </c>
      <c r="E47" s="26" t="s">
        <v>15</v>
      </c>
      <c r="F47" s="27"/>
      <c r="G47" s="27"/>
      <c r="H47" s="28"/>
    </row>
    <row r="48" customFormat="false" ht="18" hidden="false" customHeight="true" outlineLevel="0" collapsed="false">
      <c r="A48" s="25" t="s">
        <v>711</v>
      </c>
      <c r="B48" s="25" t="s">
        <v>93</v>
      </c>
      <c r="C48" s="17" t="s">
        <v>712</v>
      </c>
      <c r="D48" s="29" t="s">
        <v>164</v>
      </c>
      <c r="E48" s="26" t="s">
        <v>15</v>
      </c>
      <c r="F48" s="27"/>
      <c r="G48" s="27"/>
      <c r="H48" s="28"/>
    </row>
    <row r="49" customFormat="false" ht="18" hidden="false" customHeight="true" outlineLevel="0" collapsed="false">
      <c r="A49" s="25" t="s">
        <v>713</v>
      </c>
      <c r="B49" s="25" t="s">
        <v>93</v>
      </c>
      <c r="C49" s="17" t="s">
        <v>714</v>
      </c>
      <c r="D49" s="29" t="s">
        <v>164</v>
      </c>
      <c r="E49" s="26" t="s">
        <v>15</v>
      </c>
      <c r="F49" s="27"/>
      <c r="G49" s="27"/>
      <c r="H49" s="28"/>
    </row>
    <row r="50" customFormat="false" ht="18" hidden="false" customHeight="true" outlineLevel="0" collapsed="false">
      <c r="A50" s="25" t="s">
        <v>715</v>
      </c>
      <c r="B50" s="25" t="s">
        <v>93</v>
      </c>
      <c r="C50" s="17" t="s">
        <v>716</v>
      </c>
      <c r="D50" s="29" t="s">
        <v>164</v>
      </c>
      <c r="E50" s="26" t="s">
        <v>15</v>
      </c>
      <c r="F50" s="27"/>
      <c r="G50" s="27"/>
      <c r="H50" s="28"/>
    </row>
    <row r="51" customFormat="false" ht="18" hidden="false" customHeight="true" outlineLevel="0" collapsed="false">
      <c r="A51" s="25" t="s">
        <v>717</v>
      </c>
      <c r="B51" s="25" t="s">
        <v>93</v>
      </c>
      <c r="C51" s="17" t="s">
        <v>718</v>
      </c>
      <c r="D51" s="29" t="s">
        <v>164</v>
      </c>
      <c r="E51" s="26" t="s">
        <v>15</v>
      </c>
      <c r="F51" s="27"/>
      <c r="G51" s="27"/>
      <c r="H51" s="28"/>
    </row>
    <row r="52" customFormat="false" ht="18" hidden="false" customHeight="true" outlineLevel="0" collapsed="false">
      <c r="A52" s="25" t="s">
        <v>719</v>
      </c>
      <c r="B52" s="25" t="s">
        <v>93</v>
      </c>
      <c r="C52" s="17" t="s">
        <v>720</v>
      </c>
      <c r="D52" s="29" t="s">
        <v>164</v>
      </c>
      <c r="E52" s="26" t="s">
        <v>15</v>
      </c>
      <c r="F52" s="27"/>
      <c r="G52" s="27"/>
      <c r="H52" s="28"/>
    </row>
    <row r="53" customFormat="false" ht="18" hidden="false" customHeight="true" outlineLevel="0" collapsed="false">
      <c r="A53" s="25" t="s">
        <v>721</v>
      </c>
      <c r="B53" s="25" t="s">
        <v>93</v>
      </c>
      <c r="C53" s="17" t="s">
        <v>722</v>
      </c>
      <c r="D53" s="29" t="s">
        <v>164</v>
      </c>
      <c r="E53" s="26" t="s">
        <v>15</v>
      </c>
      <c r="F53" s="27"/>
      <c r="G53" s="27"/>
      <c r="H53" s="28"/>
    </row>
    <row r="54" customFormat="false" ht="18" hidden="false" customHeight="true" outlineLevel="0" collapsed="false">
      <c r="A54" s="25" t="s">
        <v>723</v>
      </c>
      <c r="B54" s="25" t="s">
        <v>93</v>
      </c>
      <c r="C54" s="17" t="s">
        <v>724</v>
      </c>
      <c r="D54" s="29" t="s">
        <v>164</v>
      </c>
      <c r="E54" s="26" t="s">
        <v>15</v>
      </c>
      <c r="F54" s="27"/>
      <c r="G54" s="27"/>
      <c r="H54" s="28"/>
    </row>
    <row r="55" customFormat="false" ht="18" hidden="false" customHeight="true" outlineLevel="0" collapsed="false">
      <c r="A55" s="25" t="s">
        <v>725</v>
      </c>
      <c r="B55" s="25" t="s">
        <v>93</v>
      </c>
      <c r="C55" s="17" t="s">
        <v>726</v>
      </c>
      <c r="D55" s="29" t="s">
        <v>164</v>
      </c>
      <c r="E55" s="26" t="s">
        <v>15</v>
      </c>
      <c r="F55" s="27"/>
      <c r="G55" s="27"/>
      <c r="H55" s="28"/>
    </row>
    <row r="56" customFormat="false" ht="30.75" hidden="false" customHeight="true" outlineLevel="0" collapsed="false">
      <c r="A56" s="25" t="s">
        <v>727</v>
      </c>
      <c r="B56" s="25" t="s">
        <v>93</v>
      </c>
      <c r="C56" s="17" t="s">
        <v>728</v>
      </c>
      <c r="D56" s="14" t="s">
        <v>126</v>
      </c>
      <c r="E56" s="26" t="s">
        <v>15</v>
      </c>
      <c r="F56" s="27"/>
      <c r="G56" s="27"/>
      <c r="H56" s="28"/>
    </row>
    <row r="57" customFormat="false" ht="18" hidden="false" customHeight="true" outlineLevel="0" collapsed="false">
      <c r="A57" s="25" t="s">
        <v>729</v>
      </c>
      <c r="B57" s="25" t="s">
        <v>93</v>
      </c>
      <c r="C57" s="17" t="s">
        <v>730</v>
      </c>
      <c r="D57" s="14" t="s">
        <v>126</v>
      </c>
      <c r="E57" s="26" t="s">
        <v>15</v>
      </c>
      <c r="F57" s="27"/>
      <c r="G57" s="27"/>
      <c r="H57" s="28"/>
    </row>
    <row r="58" customFormat="false" ht="18" hidden="false" customHeight="true" outlineLevel="0" collapsed="false">
      <c r="A58" s="25" t="s">
        <v>731</v>
      </c>
      <c r="B58" s="25" t="s">
        <v>93</v>
      </c>
      <c r="C58" s="17" t="s">
        <v>732</v>
      </c>
      <c r="D58" s="14" t="s">
        <v>126</v>
      </c>
      <c r="E58" s="26" t="s">
        <v>15</v>
      </c>
      <c r="F58" s="27"/>
      <c r="G58" s="27"/>
      <c r="H58" s="28"/>
    </row>
    <row r="59" customFormat="false" ht="18" hidden="false" customHeight="true" outlineLevel="0" collapsed="false">
      <c r="A59" s="25" t="s">
        <v>733</v>
      </c>
      <c r="B59" s="25" t="s">
        <v>93</v>
      </c>
      <c r="C59" s="12" t="s">
        <v>734</v>
      </c>
      <c r="D59" s="19" t="s">
        <v>179</v>
      </c>
      <c r="E59" s="26" t="s">
        <v>15</v>
      </c>
      <c r="F59" s="27"/>
      <c r="G59" s="27"/>
      <c r="H59" s="28"/>
    </row>
    <row r="60" customFormat="false" ht="21.75" hidden="false" customHeight="true" outlineLevel="0" collapsed="false">
      <c r="A60" s="23" t="s">
        <v>94</v>
      </c>
      <c r="B60" s="24"/>
      <c r="C60" s="24"/>
      <c r="D60" s="24"/>
      <c r="E60" s="24"/>
      <c r="F60" s="24"/>
      <c r="G60" s="24"/>
      <c r="H60" s="24"/>
    </row>
    <row r="61" customFormat="false" ht="30.75" hidden="false" customHeight="true" outlineLevel="0" collapsed="false">
      <c r="A61" s="25" t="s">
        <v>735</v>
      </c>
      <c r="B61" s="25" t="s">
        <v>94</v>
      </c>
      <c r="C61" s="17" t="s">
        <v>736</v>
      </c>
      <c r="D61" s="14" t="s">
        <v>126</v>
      </c>
      <c r="E61" s="26" t="s">
        <v>15</v>
      </c>
      <c r="F61" s="27"/>
      <c r="G61" s="27"/>
      <c r="H61" s="28"/>
    </row>
    <row r="62" customFormat="false" ht="18" hidden="false" customHeight="true" outlineLevel="0" collapsed="false">
      <c r="A62" s="25" t="s">
        <v>737</v>
      </c>
      <c r="B62" s="25" t="s">
        <v>94</v>
      </c>
      <c r="C62" s="17" t="s">
        <v>738</v>
      </c>
      <c r="D62" s="14" t="s">
        <v>126</v>
      </c>
      <c r="E62" s="26" t="s">
        <v>15</v>
      </c>
      <c r="F62" s="27"/>
      <c r="G62" s="27"/>
      <c r="H62" s="28"/>
    </row>
    <row r="63" customFormat="false" ht="18" hidden="false" customHeight="true" outlineLevel="0" collapsed="false">
      <c r="A63" s="25" t="s">
        <v>739</v>
      </c>
      <c r="B63" s="25" t="s">
        <v>94</v>
      </c>
      <c r="C63" s="17" t="s">
        <v>740</v>
      </c>
      <c r="D63" s="29" t="s">
        <v>164</v>
      </c>
      <c r="E63" s="26" t="s">
        <v>15</v>
      </c>
      <c r="F63" s="27"/>
      <c r="G63" s="27"/>
      <c r="H63" s="28"/>
    </row>
    <row r="64" customFormat="false" ht="18" hidden="false" customHeight="true" outlineLevel="0" collapsed="false">
      <c r="A64" s="25" t="s">
        <v>741</v>
      </c>
      <c r="B64" s="25" t="s">
        <v>94</v>
      </c>
      <c r="C64" s="17" t="s">
        <v>742</v>
      </c>
      <c r="D64" s="14" t="s">
        <v>126</v>
      </c>
      <c r="E64" s="26" t="s">
        <v>15</v>
      </c>
      <c r="F64" s="27"/>
      <c r="G64" s="27"/>
      <c r="H64" s="28"/>
    </row>
    <row r="65" customFormat="false" ht="18" hidden="false" customHeight="true" outlineLevel="0" collapsed="false">
      <c r="A65" s="25" t="s">
        <v>743</v>
      </c>
      <c r="B65" s="25" t="s">
        <v>94</v>
      </c>
      <c r="C65" s="12" t="s">
        <v>744</v>
      </c>
      <c r="D65" s="19" t="s">
        <v>179</v>
      </c>
      <c r="E65" s="26" t="s">
        <v>15</v>
      </c>
      <c r="F65" s="27"/>
      <c r="G65" s="27"/>
      <c r="H65" s="28"/>
    </row>
    <row r="66" customFormat="false" ht="21.75" hidden="false" customHeight="true" outlineLevel="0" collapsed="false">
      <c r="A66" s="23" t="s">
        <v>95</v>
      </c>
      <c r="B66" s="24"/>
      <c r="C66" s="24"/>
      <c r="D66" s="24"/>
      <c r="E66" s="24"/>
      <c r="F66" s="24"/>
      <c r="G66" s="24"/>
      <c r="H66" s="24"/>
    </row>
    <row r="67" customFormat="false" ht="18" hidden="false" customHeight="true" outlineLevel="0" collapsed="false">
      <c r="A67" s="25" t="s">
        <v>745</v>
      </c>
      <c r="B67" s="25" t="s">
        <v>95</v>
      </c>
      <c r="C67" s="17" t="s">
        <v>746</v>
      </c>
      <c r="D67" s="14" t="s">
        <v>126</v>
      </c>
      <c r="E67" s="26" t="s">
        <v>15</v>
      </c>
      <c r="F67" s="27"/>
      <c r="G67" s="27"/>
      <c r="H67" s="28"/>
    </row>
    <row r="68" customFormat="false" ht="18" hidden="false" customHeight="true" outlineLevel="0" collapsed="false">
      <c r="A68" s="25" t="s">
        <v>747</v>
      </c>
      <c r="B68" s="25" t="s">
        <v>95</v>
      </c>
      <c r="C68" s="17" t="s">
        <v>748</v>
      </c>
      <c r="D68" s="29" t="s">
        <v>164</v>
      </c>
      <c r="E68" s="26" t="s">
        <v>15</v>
      </c>
      <c r="F68" s="27"/>
      <c r="G68" s="27"/>
      <c r="H68" s="28"/>
    </row>
    <row r="69" customFormat="false" ht="18" hidden="false" customHeight="true" outlineLevel="0" collapsed="false">
      <c r="A69" s="25" t="s">
        <v>749</v>
      </c>
      <c r="B69" s="25" t="s">
        <v>95</v>
      </c>
      <c r="C69" s="17" t="s">
        <v>750</v>
      </c>
      <c r="D69" s="29" t="s">
        <v>164</v>
      </c>
      <c r="E69" s="26" t="s">
        <v>15</v>
      </c>
      <c r="F69" s="27"/>
      <c r="G69" s="27"/>
      <c r="H69" s="28"/>
    </row>
    <row r="70" customFormat="false" ht="18" hidden="false" customHeight="true" outlineLevel="0" collapsed="false">
      <c r="A70" s="25" t="s">
        <v>751</v>
      </c>
      <c r="B70" s="25" t="s">
        <v>95</v>
      </c>
      <c r="C70" s="17" t="s">
        <v>752</v>
      </c>
      <c r="D70" s="14" t="s">
        <v>126</v>
      </c>
      <c r="E70" s="26" t="s">
        <v>15</v>
      </c>
      <c r="F70" s="27"/>
      <c r="G70" s="27"/>
      <c r="H70" s="28"/>
    </row>
    <row r="71" customFormat="false" ht="18" hidden="false" customHeight="true" outlineLevel="0" collapsed="false">
      <c r="A71" s="25" t="s">
        <v>753</v>
      </c>
      <c r="B71" s="25" t="s">
        <v>95</v>
      </c>
      <c r="C71" s="12" t="s">
        <v>754</v>
      </c>
      <c r="D71" s="19" t="s">
        <v>179</v>
      </c>
      <c r="E71" s="26" t="s">
        <v>15</v>
      </c>
      <c r="F71" s="27"/>
      <c r="G71" s="27"/>
      <c r="H71" s="28"/>
    </row>
    <row r="72" customFormat="false" ht="21.75" hidden="false" customHeight="true" outlineLevel="0" collapsed="false">
      <c r="A72" s="23" t="s">
        <v>96</v>
      </c>
      <c r="B72" s="24"/>
      <c r="C72" s="24"/>
      <c r="D72" s="24"/>
      <c r="E72" s="24"/>
      <c r="F72" s="24"/>
      <c r="G72" s="24"/>
      <c r="H72" s="24"/>
    </row>
    <row r="73" customFormat="false" ht="18" hidden="false" customHeight="true" outlineLevel="0" collapsed="false">
      <c r="A73" s="25" t="s">
        <v>755</v>
      </c>
      <c r="B73" s="25" t="s">
        <v>96</v>
      </c>
      <c r="C73" s="17" t="s">
        <v>756</v>
      </c>
      <c r="D73" s="29" t="s">
        <v>164</v>
      </c>
      <c r="E73" s="26" t="s">
        <v>15</v>
      </c>
      <c r="F73" s="27"/>
      <c r="G73" s="27"/>
      <c r="H73" s="28"/>
    </row>
    <row r="74" customFormat="false" ht="18" hidden="false" customHeight="true" outlineLevel="0" collapsed="false">
      <c r="A74" s="25" t="s">
        <v>757</v>
      </c>
      <c r="B74" s="25" t="s">
        <v>96</v>
      </c>
      <c r="C74" s="17" t="s">
        <v>758</v>
      </c>
      <c r="D74" s="29" t="s">
        <v>164</v>
      </c>
      <c r="E74" s="26" t="s">
        <v>15</v>
      </c>
      <c r="F74" s="27"/>
      <c r="G74" s="27"/>
      <c r="H74" s="28"/>
    </row>
    <row r="75" customFormat="false" ht="18" hidden="false" customHeight="true" outlineLevel="0" collapsed="false">
      <c r="A75" s="25" t="s">
        <v>759</v>
      </c>
      <c r="B75" s="25" t="s">
        <v>96</v>
      </c>
      <c r="C75" s="17" t="s">
        <v>760</v>
      </c>
      <c r="D75" s="29" t="s">
        <v>164</v>
      </c>
      <c r="E75" s="26" t="s">
        <v>15</v>
      </c>
      <c r="F75" s="27"/>
      <c r="G75" s="27"/>
      <c r="H75" s="28"/>
    </row>
    <row r="76" customFormat="false" ht="18" hidden="false" customHeight="true" outlineLevel="0" collapsed="false">
      <c r="A76" s="25" t="s">
        <v>761</v>
      </c>
      <c r="B76" s="25" t="s">
        <v>96</v>
      </c>
      <c r="C76" s="17" t="s">
        <v>762</v>
      </c>
      <c r="D76" s="29" t="s">
        <v>164</v>
      </c>
      <c r="E76" s="26" t="s">
        <v>15</v>
      </c>
      <c r="F76" s="27"/>
      <c r="G76" s="27"/>
      <c r="H76" s="28"/>
    </row>
    <row r="77" customFormat="false" ht="18" hidden="false" customHeight="true" outlineLevel="0" collapsed="false">
      <c r="A77" s="25" t="s">
        <v>763</v>
      </c>
      <c r="B77" s="25" t="s">
        <v>96</v>
      </c>
      <c r="C77" s="17" t="s">
        <v>764</v>
      </c>
      <c r="D77" s="29" t="s">
        <v>164</v>
      </c>
      <c r="E77" s="26" t="s">
        <v>15</v>
      </c>
      <c r="F77" s="27"/>
      <c r="G77" s="27"/>
      <c r="H77" s="28"/>
    </row>
    <row r="78" customFormat="false" ht="18" hidden="false" customHeight="true" outlineLevel="0" collapsed="false">
      <c r="A78" s="25" t="s">
        <v>765</v>
      </c>
      <c r="B78" s="25" t="s">
        <v>96</v>
      </c>
      <c r="C78" s="17" t="s">
        <v>766</v>
      </c>
      <c r="D78" s="29" t="s">
        <v>164</v>
      </c>
      <c r="E78" s="26" t="s">
        <v>15</v>
      </c>
      <c r="F78" s="27"/>
      <c r="G78" s="27"/>
      <c r="H78" s="28"/>
    </row>
    <row r="79" customFormat="false" ht="18" hidden="false" customHeight="true" outlineLevel="0" collapsed="false">
      <c r="A79" s="25" t="s">
        <v>767</v>
      </c>
      <c r="B79" s="25" t="s">
        <v>96</v>
      </c>
      <c r="C79" s="17" t="s">
        <v>768</v>
      </c>
      <c r="D79" s="29" t="s">
        <v>164</v>
      </c>
      <c r="E79" s="26" t="s">
        <v>15</v>
      </c>
      <c r="F79" s="27"/>
      <c r="G79" s="27"/>
      <c r="H79" s="28"/>
    </row>
    <row r="80" customFormat="false" ht="18" hidden="false" customHeight="true" outlineLevel="0" collapsed="false">
      <c r="A80" s="25" t="s">
        <v>769</v>
      </c>
      <c r="B80" s="25" t="s">
        <v>96</v>
      </c>
      <c r="C80" s="17" t="s">
        <v>770</v>
      </c>
      <c r="D80" s="29" t="s">
        <v>164</v>
      </c>
      <c r="E80" s="26" t="s">
        <v>15</v>
      </c>
      <c r="F80" s="27"/>
      <c r="G80" s="27"/>
      <c r="H80" s="28"/>
    </row>
    <row r="81" customFormat="false" ht="18" hidden="false" customHeight="true" outlineLevel="0" collapsed="false">
      <c r="A81" s="25" t="s">
        <v>771</v>
      </c>
      <c r="B81" s="25" t="s">
        <v>96</v>
      </c>
      <c r="C81" s="17" t="s">
        <v>772</v>
      </c>
      <c r="D81" s="29" t="s">
        <v>164</v>
      </c>
      <c r="E81" s="26" t="s">
        <v>15</v>
      </c>
      <c r="F81" s="27"/>
      <c r="G81" s="27"/>
      <c r="H81" s="28"/>
    </row>
    <row r="82" customFormat="false" ht="18" hidden="false" customHeight="true" outlineLevel="0" collapsed="false">
      <c r="A82" s="25" t="s">
        <v>773</v>
      </c>
      <c r="B82" s="25" t="s">
        <v>96</v>
      </c>
      <c r="C82" s="17" t="s">
        <v>774</v>
      </c>
      <c r="D82" s="29" t="s">
        <v>164</v>
      </c>
      <c r="E82" s="26" t="s">
        <v>15</v>
      </c>
      <c r="F82" s="27"/>
      <c r="G82" s="27"/>
      <c r="H82" s="28"/>
    </row>
    <row r="83" customFormat="false" ht="18" hidden="false" customHeight="true" outlineLevel="0" collapsed="false">
      <c r="A83" s="25" t="s">
        <v>775</v>
      </c>
      <c r="B83" s="25" t="s">
        <v>96</v>
      </c>
      <c r="C83" s="17" t="s">
        <v>776</v>
      </c>
      <c r="D83" s="29" t="s">
        <v>164</v>
      </c>
      <c r="E83" s="26" t="s">
        <v>15</v>
      </c>
      <c r="F83" s="27"/>
      <c r="G83" s="27"/>
      <c r="H83" s="28"/>
    </row>
    <row r="84" customFormat="false" ht="18" hidden="false" customHeight="true" outlineLevel="0" collapsed="false">
      <c r="A84" s="25" t="s">
        <v>777</v>
      </c>
      <c r="B84" s="25" t="s">
        <v>96</v>
      </c>
      <c r="C84" s="12" t="s">
        <v>778</v>
      </c>
      <c r="D84" s="19" t="s">
        <v>179</v>
      </c>
      <c r="E84" s="26" t="s">
        <v>15</v>
      </c>
      <c r="F84" s="27"/>
      <c r="G84" s="27"/>
      <c r="H84" s="28"/>
    </row>
    <row r="85" customFormat="false" ht="21.75" hidden="false" customHeight="true" outlineLevel="0" collapsed="false">
      <c r="A85" s="23" t="s">
        <v>97</v>
      </c>
      <c r="B85" s="24"/>
      <c r="C85" s="24"/>
      <c r="D85" s="24"/>
      <c r="E85" s="24"/>
      <c r="F85" s="24"/>
      <c r="G85" s="24"/>
      <c r="H85" s="24"/>
    </row>
    <row r="86" customFormat="false" ht="18" hidden="false" customHeight="true" outlineLevel="0" collapsed="false">
      <c r="A86" s="25" t="s">
        <v>779</v>
      </c>
      <c r="B86" s="25" t="s">
        <v>97</v>
      </c>
      <c r="C86" s="17" t="s">
        <v>780</v>
      </c>
      <c r="D86" s="29" t="s">
        <v>164</v>
      </c>
      <c r="E86" s="26" t="s">
        <v>15</v>
      </c>
      <c r="F86" s="27"/>
      <c r="G86" s="27"/>
      <c r="H86" s="28"/>
    </row>
    <row r="87" customFormat="false" ht="30.75" hidden="false" customHeight="true" outlineLevel="0" collapsed="false">
      <c r="A87" s="25" t="s">
        <v>781</v>
      </c>
      <c r="B87" s="25" t="s">
        <v>97</v>
      </c>
      <c r="C87" s="17" t="s">
        <v>782</v>
      </c>
      <c r="D87" s="29" t="s">
        <v>164</v>
      </c>
      <c r="E87" s="26" t="s">
        <v>15</v>
      </c>
      <c r="F87" s="27"/>
      <c r="G87" s="27"/>
      <c r="H87" s="28"/>
    </row>
    <row r="88" customFormat="false" ht="18" hidden="false" customHeight="true" outlineLevel="0" collapsed="false">
      <c r="A88" s="25" t="s">
        <v>783</v>
      </c>
      <c r="B88" s="25" t="s">
        <v>97</v>
      </c>
      <c r="C88" s="17" t="s">
        <v>784</v>
      </c>
      <c r="D88" s="29" t="s">
        <v>164</v>
      </c>
      <c r="E88" s="26" t="s">
        <v>15</v>
      </c>
      <c r="F88" s="27"/>
      <c r="G88" s="27"/>
      <c r="H88" s="28"/>
    </row>
    <row r="89" customFormat="false" ht="18" hidden="false" customHeight="true" outlineLevel="0" collapsed="false">
      <c r="A89" s="25" t="s">
        <v>785</v>
      </c>
      <c r="B89" s="25" t="s">
        <v>97</v>
      </c>
      <c r="C89" s="17" t="s">
        <v>786</v>
      </c>
      <c r="D89" s="29" t="s">
        <v>164</v>
      </c>
      <c r="E89" s="26" t="s">
        <v>15</v>
      </c>
      <c r="F89" s="27"/>
      <c r="G89" s="27"/>
      <c r="H89" s="28"/>
    </row>
    <row r="90" customFormat="false" ht="18" hidden="false" customHeight="true" outlineLevel="0" collapsed="false">
      <c r="A90" s="25" t="s">
        <v>787</v>
      </c>
      <c r="B90" s="25" t="s">
        <v>97</v>
      </c>
      <c r="C90" s="17" t="s">
        <v>788</v>
      </c>
      <c r="D90" s="29" t="s">
        <v>164</v>
      </c>
      <c r="E90" s="26" t="s">
        <v>15</v>
      </c>
      <c r="F90" s="27"/>
      <c r="G90" s="27"/>
      <c r="H90" s="28"/>
    </row>
    <row r="91" customFormat="false" ht="18" hidden="false" customHeight="true" outlineLevel="0" collapsed="false">
      <c r="A91" s="25" t="s">
        <v>789</v>
      </c>
      <c r="B91" s="25" t="s">
        <v>97</v>
      </c>
      <c r="C91" s="17" t="s">
        <v>790</v>
      </c>
      <c r="D91" s="14" t="s">
        <v>126</v>
      </c>
      <c r="E91" s="26" t="s">
        <v>15</v>
      </c>
      <c r="F91" s="27"/>
      <c r="G91" s="27"/>
      <c r="H91" s="28"/>
    </row>
    <row r="92" customFormat="false" ht="18" hidden="false" customHeight="true" outlineLevel="0" collapsed="false">
      <c r="A92" s="25" t="s">
        <v>791</v>
      </c>
      <c r="B92" s="25" t="s">
        <v>97</v>
      </c>
      <c r="C92" s="12" t="s">
        <v>792</v>
      </c>
      <c r="D92" s="19" t="s">
        <v>179</v>
      </c>
      <c r="E92" s="26" t="s">
        <v>15</v>
      </c>
      <c r="F92" s="27"/>
      <c r="G92" s="27"/>
      <c r="H92" s="28"/>
    </row>
    <row r="93" customFormat="false" ht="21.75" hidden="false" customHeight="true" outlineLevel="0" collapsed="false">
      <c r="A93" s="23" t="s">
        <v>98</v>
      </c>
      <c r="B93" s="24"/>
      <c r="C93" s="24"/>
      <c r="D93" s="24"/>
      <c r="E93" s="24"/>
      <c r="F93" s="24"/>
      <c r="G93" s="24"/>
      <c r="H93" s="24"/>
    </row>
    <row r="94" customFormat="false" ht="30.75" hidden="false" customHeight="true" outlineLevel="0" collapsed="false">
      <c r="A94" s="25" t="s">
        <v>793</v>
      </c>
      <c r="B94" s="25" t="s">
        <v>98</v>
      </c>
      <c r="C94" s="17" t="s">
        <v>794</v>
      </c>
      <c r="D94" s="14" t="s">
        <v>126</v>
      </c>
      <c r="E94" s="26" t="s">
        <v>15</v>
      </c>
      <c r="F94" s="27"/>
      <c r="G94" s="27"/>
      <c r="H94" s="28"/>
    </row>
    <row r="95" customFormat="false" ht="30.75" hidden="false" customHeight="true" outlineLevel="0" collapsed="false">
      <c r="A95" s="25" t="s">
        <v>795</v>
      </c>
      <c r="B95" s="25" t="s">
        <v>98</v>
      </c>
      <c r="C95" s="12" t="s">
        <v>796</v>
      </c>
      <c r="D95" s="19" t="s">
        <v>179</v>
      </c>
      <c r="E95" s="26" t="s">
        <v>15</v>
      </c>
      <c r="F95" s="27"/>
      <c r="G95" s="27"/>
      <c r="H95" s="28"/>
    </row>
  </sheetData>
  <autoFilter ref="A5:H95"/>
  <conditionalFormatting sqref="B3">
    <cfRule type="dataBar" priority="2">
      <dataBar showValue="1" minLength="10" maxLength="90">
        <cfvo type="num" val="0"/>
        <cfvo type="num" val="1"/>
        <color rgb="FF70AD47"/>
      </dataBar>
      <extLst>
        <ext xmlns:x14="http://schemas.microsoft.com/office/spreadsheetml/2009/9/main" uri="{B025F937-C7B1-47D3-B67F-A62EFF666E3E}">
          <x14:id>{8E5FBF18-5660-43C6-907E-E08A49D8822E}</x14:id>
        </ext>
      </extLst>
    </cfRule>
  </conditionalFormatting>
  <conditionalFormatting sqref="E6:E95">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95">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11 E13:E20 E22:E31 E33:E37 E39:E45 E47:E59 E61:E65 E67:E71 E73:E84 E86:E92 E94:E95"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E5FBF18-5660-43C6-907E-E08A49D8822E}">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34</v>
      </c>
    </row>
    <row r="2" customFormat="false" ht="15" hidden="false" customHeight="false" outlineLevel="0" collapsed="false">
      <c r="A2" s="2" t="s">
        <v>797</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91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100</v>
      </c>
      <c r="B6" s="24"/>
      <c r="C6" s="24"/>
      <c r="D6" s="24"/>
      <c r="E6" s="24"/>
      <c r="F6" s="24"/>
      <c r="G6" s="24"/>
      <c r="H6" s="24"/>
    </row>
    <row r="7" customFormat="false" ht="30.75" hidden="false" customHeight="true" outlineLevel="0" collapsed="false">
      <c r="A7" s="25" t="s">
        <v>798</v>
      </c>
      <c r="B7" s="25" t="s">
        <v>100</v>
      </c>
      <c r="C7" s="17" t="s">
        <v>799</v>
      </c>
      <c r="D7" s="14" t="s">
        <v>126</v>
      </c>
      <c r="E7" s="26" t="s">
        <v>15</v>
      </c>
      <c r="F7" s="27"/>
      <c r="G7" s="27"/>
      <c r="H7" s="28"/>
    </row>
    <row r="8" customFormat="false" ht="30.75" hidden="false" customHeight="true" outlineLevel="0" collapsed="false">
      <c r="A8" s="25" t="s">
        <v>800</v>
      </c>
      <c r="B8" s="25" t="s">
        <v>100</v>
      </c>
      <c r="C8" s="17" t="s">
        <v>801</v>
      </c>
      <c r="D8" s="14" t="s">
        <v>126</v>
      </c>
      <c r="E8" s="26" t="s">
        <v>15</v>
      </c>
      <c r="F8" s="27"/>
      <c r="G8" s="27"/>
      <c r="H8" s="28"/>
    </row>
    <row r="9" customFormat="false" ht="18" hidden="false" customHeight="true" outlineLevel="0" collapsed="false">
      <c r="A9" s="25" t="s">
        <v>802</v>
      </c>
      <c r="B9" s="25" t="s">
        <v>100</v>
      </c>
      <c r="C9" s="17" t="s">
        <v>803</v>
      </c>
      <c r="D9" s="14" t="s">
        <v>126</v>
      </c>
      <c r="E9" s="26" t="s">
        <v>15</v>
      </c>
      <c r="F9" s="27"/>
      <c r="G9" s="27"/>
      <c r="H9" s="28"/>
    </row>
    <row r="10" customFormat="false" ht="18" hidden="false" customHeight="true" outlineLevel="0" collapsed="false">
      <c r="A10" s="25" t="s">
        <v>804</v>
      </c>
      <c r="B10" s="25" t="s">
        <v>100</v>
      </c>
      <c r="C10" s="17" t="s">
        <v>805</v>
      </c>
      <c r="D10" s="14" t="s">
        <v>126</v>
      </c>
      <c r="E10" s="26" t="s">
        <v>15</v>
      </c>
      <c r="F10" s="27"/>
      <c r="G10" s="27"/>
      <c r="H10" s="28"/>
    </row>
    <row r="11" customFormat="false" ht="30.75" hidden="false" customHeight="true" outlineLevel="0" collapsed="false">
      <c r="A11" s="25" t="s">
        <v>806</v>
      </c>
      <c r="B11" s="25" t="s">
        <v>100</v>
      </c>
      <c r="C11" s="12" t="s">
        <v>807</v>
      </c>
      <c r="D11" s="19" t="s">
        <v>179</v>
      </c>
      <c r="E11" s="26" t="s">
        <v>15</v>
      </c>
      <c r="F11" s="27"/>
      <c r="G11" s="27"/>
      <c r="H11" s="28"/>
    </row>
    <row r="12" customFormat="false" ht="21.75" hidden="false" customHeight="true" outlineLevel="0" collapsed="false">
      <c r="A12" s="23" t="s">
        <v>101</v>
      </c>
      <c r="B12" s="24"/>
      <c r="C12" s="24"/>
      <c r="D12" s="24"/>
      <c r="E12" s="24"/>
      <c r="F12" s="24"/>
      <c r="G12" s="24"/>
      <c r="H12" s="24"/>
    </row>
    <row r="13" customFormat="false" ht="18" hidden="false" customHeight="true" outlineLevel="0" collapsed="false">
      <c r="A13" s="25" t="s">
        <v>808</v>
      </c>
      <c r="B13" s="25" t="s">
        <v>101</v>
      </c>
      <c r="C13" s="17" t="s">
        <v>809</v>
      </c>
      <c r="D13" s="29" t="s">
        <v>164</v>
      </c>
      <c r="E13" s="26" t="s">
        <v>15</v>
      </c>
      <c r="F13" s="27"/>
      <c r="G13" s="27"/>
      <c r="H13" s="28"/>
    </row>
    <row r="14" customFormat="false" ht="18" hidden="false" customHeight="true" outlineLevel="0" collapsed="false">
      <c r="A14" s="25" t="s">
        <v>810</v>
      </c>
      <c r="B14" s="25" t="s">
        <v>101</v>
      </c>
      <c r="C14" s="17" t="s">
        <v>811</v>
      </c>
      <c r="D14" s="29" t="s">
        <v>164</v>
      </c>
      <c r="E14" s="26" t="s">
        <v>15</v>
      </c>
      <c r="F14" s="27"/>
      <c r="G14" s="27"/>
      <c r="H14" s="28"/>
    </row>
    <row r="15" customFormat="false" ht="18" hidden="false" customHeight="true" outlineLevel="0" collapsed="false">
      <c r="A15" s="25" t="s">
        <v>812</v>
      </c>
      <c r="B15" s="25" t="s">
        <v>101</v>
      </c>
      <c r="C15" s="17" t="s">
        <v>813</v>
      </c>
      <c r="D15" s="29" t="s">
        <v>164</v>
      </c>
      <c r="E15" s="26" t="s">
        <v>15</v>
      </c>
      <c r="F15" s="27"/>
      <c r="G15" s="27"/>
      <c r="H15" s="28"/>
    </row>
    <row r="16" customFormat="false" ht="18" hidden="false" customHeight="true" outlineLevel="0" collapsed="false">
      <c r="A16" s="25" t="s">
        <v>814</v>
      </c>
      <c r="B16" s="25" t="s">
        <v>101</v>
      </c>
      <c r="C16" s="17" t="s">
        <v>815</v>
      </c>
      <c r="D16" s="29" t="s">
        <v>164</v>
      </c>
      <c r="E16" s="26" t="s">
        <v>15</v>
      </c>
      <c r="F16" s="27"/>
      <c r="G16" s="27"/>
      <c r="H16" s="28"/>
    </row>
    <row r="17" customFormat="false" ht="18" hidden="false" customHeight="true" outlineLevel="0" collapsed="false">
      <c r="A17" s="25" t="s">
        <v>816</v>
      </c>
      <c r="B17" s="25" t="s">
        <v>101</v>
      </c>
      <c r="C17" s="17" t="s">
        <v>817</v>
      </c>
      <c r="D17" s="14" t="s">
        <v>126</v>
      </c>
      <c r="E17" s="26" t="s">
        <v>15</v>
      </c>
      <c r="F17" s="27"/>
      <c r="G17" s="27"/>
      <c r="H17" s="28"/>
    </row>
    <row r="18" customFormat="false" ht="30.75" hidden="false" customHeight="true" outlineLevel="0" collapsed="false">
      <c r="A18" s="25" t="s">
        <v>818</v>
      </c>
      <c r="B18" s="25" t="s">
        <v>101</v>
      </c>
      <c r="C18" s="17" t="s">
        <v>819</v>
      </c>
      <c r="D18" s="14" t="s">
        <v>126</v>
      </c>
      <c r="E18" s="26" t="s">
        <v>15</v>
      </c>
      <c r="F18" s="27"/>
      <c r="G18" s="27"/>
      <c r="H18" s="28"/>
    </row>
    <row r="19" customFormat="false" ht="18" hidden="false" customHeight="true" outlineLevel="0" collapsed="false">
      <c r="A19" s="25" t="s">
        <v>820</v>
      </c>
      <c r="B19" s="25" t="s">
        <v>101</v>
      </c>
      <c r="C19" s="17" t="s">
        <v>821</v>
      </c>
      <c r="D19" s="14" t="s">
        <v>126</v>
      </c>
      <c r="E19" s="26" t="s">
        <v>15</v>
      </c>
      <c r="F19" s="27"/>
      <c r="G19" s="27"/>
      <c r="H19" s="28"/>
    </row>
    <row r="20" customFormat="false" ht="18" hidden="false" customHeight="true" outlineLevel="0" collapsed="false">
      <c r="A20" s="25" t="s">
        <v>822</v>
      </c>
      <c r="B20" s="25" t="s">
        <v>101</v>
      </c>
      <c r="C20" s="17" t="s">
        <v>823</v>
      </c>
      <c r="D20" s="14" t="s">
        <v>126</v>
      </c>
      <c r="E20" s="26" t="s">
        <v>15</v>
      </c>
      <c r="F20" s="27"/>
      <c r="G20" s="27"/>
      <c r="H20" s="28"/>
    </row>
    <row r="21" customFormat="false" ht="18" hidden="false" customHeight="true" outlineLevel="0" collapsed="false">
      <c r="A21" s="25" t="s">
        <v>824</v>
      </c>
      <c r="B21" s="25" t="s">
        <v>101</v>
      </c>
      <c r="C21" s="12" t="s">
        <v>825</v>
      </c>
      <c r="D21" s="19" t="s">
        <v>179</v>
      </c>
      <c r="E21" s="26" t="s">
        <v>15</v>
      </c>
      <c r="F21" s="27"/>
      <c r="G21" s="27"/>
      <c r="H21" s="28"/>
    </row>
    <row r="22" customFormat="false" ht="21.75" hidden="false" customHeight="true" outlineLevel="0" collapsed="false">
      <c r="A22" s="23" t="s">
        <v>102</v>
      </c>
      <c r="B22" s="24"/>
      <c r="C22" s="24"/>
      <c r="D22" s="24"/>
      <c r="E22" s="24"/>
      <c r="F22" s="24"/>
      <c r="G22" s="24"/>
      <c r="H22" s="24"/>
    </row>
    <row r="23" customFormat="false" ht="18" hidden="false" customHeight="true" outlineLevel="0" collapsed="false">
      <c r="A23" s="25" t="s">
        <v>826</v>
      </c>
      <c r="B23" s="25" t="s">
        <v>102</v>
      </c>
      <c r="C23" s="17" t="s">
        <v>827</v>
      </c>
      <c r="D23" s="14" t="s">
        <v>126</v>
      </c>
      <c r="E23" s="26" t="s">
        <v>15</v>
      </c>
      <c r="F23" s="27"/>
      <c r="G23" s="27"/>
      <c r="H23" s="28"/>
    </row>
    <row r="24" customFormat="false" ht="18" hidden="false" customHeight="true" outlineLevel="0" collapsed="false">
      <c r="A24" s="25" t="s">
        <v>828</v>
      </c>
      <c r="B24" s="25" t="s">
        <v>102</v>
      </c>
      <c r="C24" s="17" t="s">
        <v>829</v>
      </c>
      <c r="D24" s="14" t="s">
        <v>126</v>
      </c>
      <c r="E24" s="26" t="s">
        <v>15</v>
      </c>
      <c r="F24" s="27"/>
      <c r="G24" s="27"/>
      <c r="H24" s="28"/>
    </row>
    <row r="25" customFormat="false" ht="18" hidden="false" customHeight="true" outlineLevel="0" collapsed="false">
      <c r="A25" s="25" t="s">
        <v>830</v>
      </c>
      <c r="B25" s="25" t="s">
        <v>102</v>
      </c>
      <c r="C25" s="17" t="s">
        <v>831</v>
      </c>
      <c r="D25" s="29" t="s">
        <v>164</v>
      </c>
      <c r="E25" s="26" t="s">
        <v>15</v>
      </c>
      <c r="F25" s="27"/>
      <c r="G25" s="27"/>
      <c r="H25" s="28"/>
    </row>
    <row r="26" customFormat="false" ht="18" hidden="false" customHeight="true" outlineLevel="0" collapsed="false">
      <c r="A26" s="25" t="s">
        <v>832</v>
      </c>
      <c r="B26" s="25" t="s">
        <v>102</v>
      </c>
      <c r="C26" s="17" t="s">
        <v>833</v>
      </c>
      <c r="D26" s="29" t="s">
        <v>164</v>
      </c>
      <c r="E26" s="26" t="s">
        <v>15</v>
      </c>
      <c r="F26" s="27"/>
      <c r="G26" s="27"/>
      <c r="H26" s="28"/>
    </row>
    <row r="27" customFormat="false" ht="18" hidden="false" customHeight="true" outlineLevel="0" collapsed="false">
      <c r="A27" s="25" t="s">
        <v>834</v>
      </c>
      <c r="B27" s="25" t="s">
        <v>102</v>
      </c>
      <c r="C27" s="17" t="s">
        <v>835</v>
      </c>
      <c r="D27" s="29" t="s">
        <v>164</v>
      </c>
      <c r="E27" s="26" t="s">
        <v>15</v>
      </c>
      <c r="F27" s="27"/>
      <c r="G27" s="27"/>
      <c r="H27" s="28"/>
    </row>
    <row r="28" customFormat="false" ht="18" hidden="false" customHeight="true" outlineLevel="0" collapsed="false">
      <c r="A28" s="25" t="s">
        <v>836</v>
      </c>
      <c r="B28" s="25" t="s">
        <v>102</v>
      </c>
      <c r="C28" s="17" t="s">
        <v>837</v>
      </c>
      <c r="D28" s="29" t="s">
        <v>164</v>
      </c>
      <c r="E28" s="26" t="s">
        <v>15</v>
      </c>
      <c r="F28" s="27"/>
      <c r="G28" s="27"/>
      <c r="H28" s="28"/>
    </row>
    <row r="29" customFormat="false" ht="18" hidden="false" customHeight="true" outlineLevel="0" collapsed="false">
      <c r="A29" s="25" t="s">
        <v>838</v>
      </c>
      <c r="B29" s="25" t="s">
        <v>102</v>
      </c>
      <c r="C29" s="17" t="s">
        <v>839</v>
      </c>
      <c r="D29" s="29" t="s">
        <v>164</v>
      </c>
      <c r="E29" s="26" t="s">
        <v>15</v>
      </c>
      <c r="F29" s="27"/>
      <c r="G29" s="27"/>
      <c r="H29" s="28"/>
    </row>
    <row r="30" customFormat="false" ht="18" hidden="false" customHeight="true" outlineLevel="0" collapsed="false">
      <c r="A30" s="25" t="s">
        <v>840</v>
      </c>
      <c r="B30" s="25" t="s">
        <v>102</v>
      </c>
      <c r="C30" s="17" t="s">
        <v>841</v>
      </c>
      <c r="D30" s="14" t="s">
        <v>126</v>
      </c>
      <c r="E30" s="26" t="s">
        <v>15</v>
      </c>
      <c r="F30" s="27"/>
      <c r="G30" s="27"/>
      <c r="H30" s="28"/>
    </row>
    <row r="31" customFormat="false" ht="30.75" hidden="false" customHeight="true" outlineLevel="0" collapsed="false">
      <c r="A31" s="25" t="s">
        <v>842</v>
      </c>
      <c r="B31" s="25" t="s">
        <v>102</v>
      </c>
      <c r="C31" s="17" t="s">
        <v>843</v>
      </c>
      <c r="D31" s="14" t="s">
        <v>126</v>
      </c>
      <c r="E31" s="26" t="s">
        <v>15</v>
      </c>
      <c r="F31" s="27"/>
      <c r="G31" s="27"/>
      <c r="H31" s="28"/>
    </row>
    <row r="32" customFormat="false" ht="30.75" hidden="false" customHeight="true" outlineLevel="0" collapsed="false">
      <c r="A32" s="25" t="s">
        <v>844</v>
      </c>
      <c r="B32" s="25" t="s">
        <v>102</v>
      </c>
      <c r="C32" s="12" t="s">
        <v>845</v>
      </c>
      <c r="D32" s="19" t="s">
        <v>179</v>
      </c>
      <c r="E32" s="26" t="s">
        <v>15</v>
      </c>
      <c r="F32" s="27"/>
      <c r="G32" s="27"/>
      <c r="H32" s="28"/>
    </row>
    <row r="33" customFormat="false" ht="21.75" hidden="false" customHeight="true" outlineLevel="0" collapsed="false">
      <c r="A33" s="23" t="s">
        <v>103</v>
      </c>
      <c r="B33" s="24"/>
      <c r="C33" s="24"/>
      <c r="D33" s="24"/>
      <c r="E33" s="24"/>
      <c r="F33" s="24"/>
      <c r="G33" s="24"/>
      <c r="H33" s="24"/>
    </row>
    <row r="34" customFormat="false" ht="18" hidden="false" customHeight="true" outlineLevel="0" collapsed="false">
      <c r="A34" s="25" t="s">
        <v>846</v>
      </c>
      <c r="B34" s="25" t="s">
        <v>103</v>
      </c>
      <c r="C34" s="17" t="s">
        <v>847</v>
      </c>
      <c r="D34" s="29" t="s">
        <v>164</v>
      </c>
      <c r="E34" s="26" t="s">
        <v>15</v>
      </c>
      <c r="F34" s="27"/>
      <c r="G34" s="27"/>
      <c r="H34" s="28"/>
    </row>
    <row r="35" customFormat="false" ht="18" hidden="false" customHeight="true" outlineLevel="0" collapsed="false">
      <c r="A35" s="25" t="s">
        <v>848</v>
      </c>
      <c r="B35" s="25" t="s">
        <v>103</v>
      </c>
      <c r="C35" s="17" t="s">
        <v>849</v>
      </c>
      <c r="D35" s="29" t="s">
        <v>164</v>
      </c>
      <c r="E35" s="26" t="s">
        <v>15</v>
      </c>
      <c r="F35" s="27"/>
      <c r="G35" s="27"/>
      <c r="H35" s="28"/>
    </row>
    <row r="36" customFormat="false" ht="18" hidden="false" customHeight="true" outlineLevel="0" collapsed="false">
      <c r="A36" s="25" t="s">
        <v>850</v>
      </c>
      <c r="B36" s="25" t="s">
        <v>103</v>
      </c>
      <c r="C36" s="17" t="s">
        <v>851</v>
      </c>
      <c r="D36" s="29" t="s">
        <v>164</v>
      </c>
      <c r="E36" s="26" t="s">
        <v>15</v>
      </c>
      <c r="F36" s="27"/>
      <c r="G36" s="27"/>
      <c r="H36" s="28"/>
    </row>
    <row r="37" customFormat="false" ht="18" hidden="false" customHeight="true" outlineLevel="0" collapsed="false">
      <c r="A37" s="25" t="s">
        <v>852</v>
      </c>
      <c r="B37" s="25" t="s">
        <v>103</v>
      </c>
      <c r="C37" s="17" t="s">
        <v>853</v>
      </c>
      <c r="D37" s="29" t="s">
        <v>164</v>
      </c>
      <c r="E37" s="26" t="s">
        <v>15</v>
      </c>
      <c r="F37" s="27"/>
      <c r="G37" s="27"/>
      <c r="H37" s="28"/>
    </row>
    <row r="38" customFormat="false" ht="18" hidden="false" customHeight="true" outlineLevel="0" collapsed="false">
      <c r="A38" s="25" t="s">
        <v>854</v>
      </c>
      <c r="B38" s="25" t="s">
        <v>103</v>
      </c>
      <c r="C38" s="17" t="s">
        <v>855</v>
      </c>
      <c r="D38" s="29" t="s">
        <v>164</v>
      </c>
      <c r="E38" s="26" t="s">
        <v>15</v>
      </c>
      <c r="F38" s="27"/>
      <c r="G38" s="27"/>
      <c r="H38" s="28"/>
    </row>
    <row r="39" customFormat="false" ht="18" hidden="false" customHeight="true" outlineLevel="0" collapsed="false">
      <c r="A39" s="25" t="s">
        <v>856</v>
      </c>
      <c r="B39" s="25" t="s">
        <v>103</v>
      </c>
      <c r="C39" s="12" t="s">
        <v>857</v>
      </c>
      <c r="D39" s="19" t="s">
        <v>179</v>
      </c>
      <c r="E39" s="26" t="s">
        <v>15</v>
      </c>
      <c r="F39" s="27"/>
      <c r="G39" s="27"/>
      <c r="H39" s="28"/>
    </row>
    <row r="40" customFormat="false" ht="21.75" hidden="false" customHeight="true" outlineLevel="0" collapsed="false">
      <c r="A40" s="23" t="s">
        <v>104</v>
      </c>
      <c r="B40" s="24"/>
      <c r="C40" s="24"/>
      <c r="D40" s="24"/>
      <c r="E40" s="24"/>
      <c r="F40" s="24"/>
      <c r="G40" s="24"/>
      <c r="H40" s="24"/>
    </row>
    <row r="41" customFormat="false" ht="30.75" hidden="false" customHeight="true" outlineLevel="0" collapsed="false">
      <c r="A41" s="25" t="s">
        <v>858</v>
      </c>
      <c r="B41" s="25" t="s">
        <v>104</v>
      </c>
      <c r="C41" s="17" t="s">
        <v>859</v>
      </c>
      <c r="D41" s="14" t="s">
        <v>126</v>
      </c>
      <c r="E41" s="26" t="s">
        <v>15</v>
      </c>
      <c r="F41" s="27"/>
      <c r="G41" s="27"/>
      <c r="H41" s="28"/>
    </row>
    <row r="42" customFormat="false" ht="18" hidden="false" customHeight="true" outlineLevel="0" collapsed="false">
      <c r="A42" s="25" t="s">
        <v>860</v>
      </c>
      <c r="B42" s="25" t="s">
        <v>104</v>
      </c>
      <c r="C42" s="17" t="s">
        <v>861</v>
      </c>
      <c r="D42" s="29" t="s">
        <v>164</v>
      </c>
      <c r="E42" s="26" t="s">
        <v>15</v>
      </c>
      <c r="F42" s="27"/>
      <c r="G42" s="27"/>
      <c r="H42" s="28"/>
    </row>
    <row r="43" customFormat="false" ht="18" hidden="false" customHeight="true" outlineLevel="0" collapsed="false">
      <c r="A43" s="25" t="s">
        <v>862</v>
      </c>
      <c r="B43" s="25" t="s">
        <v>104</v>
      </c>
      <c r="C43" s="17" t="s">
        <v>863</v>
      </c>
      <c r="D43" s="29" t="s">
        <v>164</v>
      </c>
      <c r="E43" s="26" t="s">
        <v>15</v>
      </c>
      <c r="F43" s="27"/>
      <c r="G43" s="27"/>
      <c r="H43" s="28"/>
    </row>
    <row r="44" customFormat="false" ht="18" hidden="false" customHeight="true" outlineLevel="0" collapsed="false">
      <c r="A44" s="25" t="s">
        <v>864</v>
      </c>
      <c r="B44" s="25" t="s">
        <v>104</v>
      </c>
      <c r="C44" s="17" t="s">
        <v>865</v>
      </c>
      <c r="D44" s="29" t="s">
        <v>164</v>
      </c>
      <c r="E44" s="26" t="s">
        <v>15</v>
      </c>
      <c r="F44" s="27"/>
      <c r="G44" s="27"/>
      <c r="H44" s="28"/>
    </row>
    <row r="45" customFormat="false" ht="18" hidden="false" customHeight="true" outlineLevel="0" collapsed="false">
      <c r="A45" s="25" t="s">
        <v>866</v>
      </c>
      <c r="B45" s="25" t="s">
        <v>104</v>
      </c>
      <c r="C45" s="17" t="s">
        <v>867</v>
      </c>
      <c r="D45" s="29" t="s">
        <v>164</v>
      </c>
      <c r="E45" s="26" t="s">
        <v>15</v>
      </c>
      <c r="F45" s="27"/>
      <c r="G45" s="27"/>
      <c r="H45" s="28"/>
    </row>
    <row r="46" customFormat="false" ht="18" hidden="false" customHeight="true" outlineLevel="0" collapsed="false">
      <c r="A46" s="25" t="s">
        <v>868</v>
      </c>
      <c r="B46" s="25" t="s">
        <v>104</v>
      </c>
      <c r="C46" s="17" t="s">
        <v>869</v>
      </c>
      <c r="D46" s="29" t="s">
        <v>164</v>
      </c>
      <c r="E46" s="26" t="s">
        <v>15</v>
      </c>
      <c r="F46" s="27"/>
      <c r="G46" s="27"/>
      <c r="H46" s="28"/>
    </row>
    <row r="47" customFormat="false" ht="18" hidden="false" customHeight="true" outlineLevel="0" collapsed="false">
      <c r="A47" s="25" t="s">
        <v>870</v>
      </c>
      <c r="B47" s="25" t="s">
        <v>104</v>
      </c>
      <c r="C47" s="17" t="s">
        <v>871</v>
      </c>
      <c r="D47" s="29" t="s">
        <v>164</v>
      </c>
      <c r="E47" s="26" t="s">
        <v>15</v>
      </c>
      <c r="F47" s="27"/>
      <c r="G47" s="27"/>
      <c r="H47" s="28"/>
    </row>
    <row r="48" customFormat="false" ht="18" hidden="false" customHeight="true" outlineLevel="0" collapsed="false">
      <c r="A48" s="25" t="s">
        <v>872</v>
      </c>
      <c r="B48" s="25" t="s">
        <v>104</v>
      </c>
      <c r="C48" s="17" t="s">
        <v>873</v>
      </c>
      <c r="D48" s="29" t="s">
        <v>164</v>
      </c>
      <c r="E48" s="26" t="s">
        <v>15</v>
      </c>
      <c r="F48" s="27"/>
      <c r="G48" s="27"/>
      <c r="H48" s="28"/>
    </row>
    <row r="49" customFormat="false" ht="18" hidden="false" customHeight="true" outlineLevel="0" collapsed="false">
      <c r="A49" s="25" t="s">
        <v>874</v>
      </c>
      <c r="B49" s="25" t="s">
        <v>104</v>
      </c>
      <c r="C49" s="17" t="s">
        <v>875</v>
      </c>
      <c r="D49" s="29" t="s">
        <v>164</v>
      </c>
      <c r="E49" s="26" t="s">
        <v>15</v>
      </c>
      <c r="F49" s="27"/>
      <c r="G49" s="27"/>
      <c r="H49" s="28"/>
    </row>
    <row r="50" customFormat="false" ht="18" hidden="false" customHeight="true" outlineLevel="0" collapsed="false">
      <c r="A50" s="25" t="s">
        <v>876</v>
      </c>
      <c r="B50" s="25" t="s">
        <v>104</v>
      </c>
      <c r="C50" s="17" t="s">
        <v>877</v>
      </c>
      <c r="D50" s="14" t="s">
        <v>126</v>
      </c>
      <c r="E50" s="26" t="s">
        <v>15</v>
      </c>
      <c r="F50" s="27"/>
      <c r="G50" s="27"/>
      <c r="H50" s="28"/>
    </row>
    <row r="51" customFormat="false" ht="30.75" hidden="false" customHeight="true" outlineLevel="0" collapsed="false">
      <c r="A51" s="25" t="s">
        <v>878</v>
      </c>
      <c r="B51" s="25" t="s">
        <v>104</v>
      </c>
      <c r="C51" s="17" t="s">
        <v>879</v>
      </c>
      <c r="D51" s="14" t="s">
        <v>126</v>
      </c>
      <c r="E51" s="26" t="s">
        <v>15</v>
      </c>
      <c r="F51" s="27"/>
      <c r="G51" s="27"/>
      <c r="H51" s="28"/>
    </row>
    <row r="52" customFormat="false" ht="18" hidden="false" customHeight="true" outlineLevel="0" collapsed="false">
      <c r="A52" s="25" t="s">
        <v>880</v>
      </c>
      <c r="B52" s="25" t="s">
        <v>104</v>
      </c>
      <c r="C52" s="17" t="s">
        <v>881</v>
      </c>
      <c r="D52" s="14" t="s">
        <v>126</v>
      </c>
      <c r="E52" s="26" t="s">
        <v>15</v>
      </c>
      <c r="F52" s="27"/>
      <c r="G52" s="27"/>
      <c r="H52" s="28"/>
    </row>
    <row r="53" customFormat="false" ht="18" hidden="false" customHeight="true" outlineLevel="0" collapsed="false">
      <c r="A53" s="25" t="s">
        <v>882</v>
      </c>
      <c r="B53" s="25" t="s">
        <v>104</v>
      </c>
      <c r="C53" s="12" t="s">
        <v>883</v>
      </c>
      <c r="D53" s="19" t="s">
        <v>179</v>
      </c>
      <c r="E53" s="26" t="s">
        <v>15</v>
      </c>
      <c r="F53" s="27"/>
      <c r="G53" s="27"/>
      <c r="H53" s="28"/>
    </row>
    <row r="54" customFormat="false" ht="21.75" hidden="false" customHeight="true" outlineLevel="0" collapsed="false">
      <c r="A54" s="23" t="s">
        <v>105</v>
      </c>
      <c r="B54" s="24"/>
      <c r="C54" s="24"/>
      <c r="D54" s="24"/>
      <c r="E54" s="24"/>
      <c r="F54" s="24"/>
      <c r="G54" s="24"/>
      <c r="H54" s="24"/>
    </row>
    <row r="55" customFormat="false" ht="30.75" hidden="false" customHeight="true" outlineLevel="0" collapsed="false">
      <c r="A55" s="25" t="s">
        <v>884</v>
      </c>
      <c r="B55" s="25" t="s">
        <v>105</v>
      </c>
      <c r="C55" s="17" t="s">
        <v>885</v>
      </c>
      <c r="D55" s="14" t="s">
        <v>126</v>
      </c>
      <c r="E55" s="26" t="s">
        <v>15</v>
      </c>
      <c r="F55" s="27"/>
      <c r="G55" s="27"/>
      <c r="H55" s="28"/>
    </row>
    <row r="56" customFormat="false" ht="18" hidden="false" customHeight="true" outlineLevel="0" collapsed="false">
      <c r="A56" s="25" t="s">
        <v>886</v>
      </c>
      <c r="B56" s="25" t="s">
        <v>105</v>
      </c>
      <c r="C56" s="17" t="s">
        <v>887</v>
      </c>
      <c r="D56" s="29" t="s">
        <v>164</v>
      </c>
      <c r="E56" s="26" t="s">
        <v>15</v>
      </c>
      <c r="F56" s="27"/>
      <c r="G56" s="27"/>
      <c r="H56" s="28"/>
    </row>
    <row r="57" customFormat="false" ht="18" hidden="false" customHeight="true" outlineLevel="0" collapsed="false">
      <c r="A57" s="25" t="s">
        <v>888</v>
      </c>
      <c r="B57" s="25" t="s">
        <v>105</v>
      </c>
      <c r="C57" s="17" t="s">
        <v>889</v>
      </c>
      <c r="D57" s="29" t="s">
        <v>164</v>
      </c>
      <c r="E57" s="26" t="s">
        <v>15</v>
      </c>
      <c r="F57" s="27"/>
      <c r="G57" s="27"/>
      <c r="H57" s="28"/>
    </row>
    <row r="58" customFormat="false" ht="18" hidden="false" customHeight="true" outlineLevel="0" collapsed="false">
      <c r="A58" s="25" t="s">
        <v>890</v>
      </c>
      <c r="B58" s="25" t="s">
        <v>105</v>
      </c>
      <c r="C58" s="17" t="s">
        <v>891</v>
      </c>
      <c r="D58" s="29" t="s">
        <v>164</v>
      </c>
      <c r="E58" s="26" t="s">
        <v>15</v>
      </c>
      <c r="F58" s="27"/>
      <c r="G58" s="27"/>
      <c r="H58" s="28"/>
    </row>
    <row r="59" customFormat="false" ht="18" hidden="false" customHeight="true" outlineLevel="0" collapsed="false">
      <c r="A59" s="25" t="s">
        <v>892</v>
      </c>
      <c r="B59" s="25" t="s">
        <v>105</v>
      </c>
      <c r="C59" s="17" t="s">
        <v>893</v>
      </c>
      <c r="D59" s="29" t="s">
        <v>164</v>
      </c>
      <c r="E59" s="26" t="s">
        <v>15</v>
      </c>
      <c r="F59" s="27"/>
      <c r="G59" s="27"/>
      <c r="H59" s="28"/>
    </row>
    <row r="60" customFormat="false" ht="18" hidden="false" customHeight="true" outlineLevel="0" collapsed="false">
      <c r="A60" s="25" t="s">
        <v>894</v>
      </c>
      <c r="B60" s="25" t="s">
        <v>105</v>
      </c>
      <c r="C60" s="17" t="s">
        <v>895</v>
      </c>
      <c r="D60" s="29" t="s">
        <v>164</v>
      </c>
      <c r="E60" s="26" t="s">
        <v>15</v>
      </c>
      <c r="F60" s="27"/>
      <c r="G60" s="27"/>
      <c r="H60" s="28"/>
    </row>
    <row r="61" customFormat="false" ht="18" hidden="false" customHeight="true" outlineLevel="0" collapsed="false">
      <c r="A61" s="25" t="s">
        <v>896</v>
      </c>
      <c r="B61" s="25" t="s">
        <v>105</v>
      </c>
      <c r="C61" s="17" t="s">
        <v>897</v>
      </c>
      <c r="D61" s="29" t="s">
        <v>164</v>
      </c>
      <c r="E61" s="26" t="s">
        <v>15</v>
      </c>
      <c r="F61" s="27"/>
      <c r="G61" s="27"/>
      <c r="H61" s="28"/>
    </row>
    <row r="62" customFormat="false" ht="18" hidden="false" customHeight="true" outlineLevel="0" collapsed="false">
      <c r="A62" s="25" t="s">
        <v>898</v>
      </c>
      <c r="B62" s="25" t="s">
        <v>105</v>
      </c>
      <c r="C62" s="17" t="s">
        <v>899</v>
      </c>
      <c r="D62" s="29" t="s">
        <v>164</v>
      </c>
      <c r="E62" s="26" t="s">
        <v>15</v>
      </c>
      <c r="F62" s="27"/>
      <c r="G62" s="27"/>
      <c r="H62" s="28"/>
    </row>
    <row r="63" customFormat="false" ht="18" hidden="false" customHeight="true" outlineLevel="0" collapsed="false">
      <c r="A63" s="25" t="s">
        <v>900</v>
      </c>
      <c r="B63" s="25" t="s">
        <v>105</v>
      </c>
      <c r="C63" s="17" t="s">
        <v>901</v>
      </c>
      <c r="D63" s="29" t="s">
        <v>164</v>
      </c>
      <c r="E63" s="26" t="s">
        <v>15</v>
      </c>
      <c r="F63" s="27"/>
      <c r="G63" s="27"/>
      <c r="H63" s="28"/>
    </row>
    <row r="64" customFormat="false" ht="18" hidden="false" customHeight="true" outlineLevel="0" collapsed="false">
      <c r="A64" s="25" t="s">
        <v>902</v>
      </c>
      <c r="B64" s="25" t="s">
        <v>105</v>
      </c>
      <c r="C64" s="17" t="s">
        <v>903</v>
      </c>
      <c r="D64" s="14" t="s">
        <v>126</v>
      </c>
      <c r="E64" s="26" t="s">
        <v>15</v>
      </c>
      <c r="F64" s="27"/>
      <c r="G64" s="27"/>
      <c r="H64" s="28"/>
    </row>
    <row r="65" customFormat="false" ht="18" hidden="false" customHeight="true" outlineLevel="0" collapsed="false">
      <c r="A65" s="25" t="s">
        <v>904</v>
      </c>
      <c r="B65" s="25" t="s">
        <v>105</v>
      </c>
      <c r="C65" s="17" t="s">
        <v>905</v>
      </c>
      <c r="D65" s="14" t="s">
        <v>126</v>
      </c>
      <c r="E65" s="26" t="s">
        <v>15</v>
      </c>
      <c r="F65" s="27"/>
      <c r="G65" s="27"/>
      <c r="H65" s="28"/>
    </row>
    <row r="66" customFormat="false" ht="18" hidden="false" customHeight="true" outlineLevel="0" collapsed="false">
      <c r="A66" s="25" t="s">
        <v>906</v>
      </c>
      <c r="B66" s="25" t="s">
        <v>105</v>
      </c>
      <c r="C66" s="12" t="s">
        <v>907</v>
      </c>
      <c r="D66" s="19" t="s">
        <v>179</v>
      </c>
      <c r="E66" s="26" t="s">
        <v>15</v>
      </c>
      <c r="F66" s="27"/>
      <c r="G66" s="27"/>
      <c r="H66" s="28"/>
    </row>
    <row r="67" customFormat="false" ht="21.75" hidden="false" customHeight="true" outlineLevel="0" collapsed="false">
      <c r="A67" s="23" t="s">
        <v>106</v>
      </c>
      <c r="B67" s="24"/>
      <c r="C67" s="24"/>
      <c r="D67" s="24"/>
      <c r="E67" s="24"/>
      <c r="F67" s="24"/>
      <c r="G67" s="24"/>
      <c r="H67" s="24"/>
    </row>
    <row r="68" customFormat="false" ht="18" hidden="false" customHeight="true" outlineLevel="0" collapsed="false">
      <c r="A68" s="25" t="s">
        <v>908</v>
      </c>
      <c r="B68" s="25" t="s">
        <v>106</v>
      </c>
      <c r="C68" s="17" t="s">
        <v>909</v>
      </c>
      <c r="D68" s="29" t="s">
        <v>164</v>
      </c>
      <c r="E68" s="26" t="s">
        <v>15</v>
      </c>
      <c r="F68" s="27"/>
      <c r="G68" s="27"/>
      <c r="H68" s="28"/>
    </row>
    <row r="69" customFormat="false" ht="18" hidden="false" customHeight="true" outlineLevel="0" collapsed="false">
      <c r="A69" s="25" t="s">
        <v>910</v>
      </c>
      <c r="B69" s="25" t="s">
        <v>106</v>
      </c>
      <c r="C69" s="17" t="s">
        <v>911</v>
      </c>
      <c r="D69" s="14" t="s">
        <v>126</v>
      </c>
      <c r="E69" s="26" t="s">
        <v>15</v>
      </c>
      <c r="F69" s="27"/>
      <c r="G69" s="27"/>
      <c r="H69" s="28"/>
    </row>
    <row r="70" customFormat="false" ht="18" hidden="false" customHeight="true" outlineLevel="0" collapsed="false">
      <c r="A70" s="25" t="s">
        <v>912</v>
      </c>
      <c r="B70" s="25" t="s">
        <v>106</v>
      </c>
      <c r="C70" s="17" t="s">
        <v>913</v>
      </c>
      <c r="D70" s="14" t="s">
        <v>126</v>
      </c>
      <c r="E70" s="26" t="s">
        <v>15</v>
      </c>
      <c r="F70" s="27"/>
      <c r="G70" s="27"/>
      <c r="H70" s="28"/>
    </row>
    <row r="71" customFormat="false" ht="18" hidden="false" customHeight="true" outlineLevel="0" collapsed="false">
      <c r="A71" s="25" t="s">
        <v>914</v>
      </c>
      <c r="B71" s="25" t="s">
        <v>106</v>
      </c>
      <c r="C71" s="17" t="s">
        <v>915</v>
      </c>
      <c r="D71" s="29" t="s">
        <v>164</v>
      </c>
      <c r="E71" s="26" t="s">
        <v>15</v>
      </c>
      <c r="F71" s="27"/>
      <c r="G71" s="27"/>
      <c r="H71" s="28"/>
    </row>
    <row r="72" customFormat="false" ht="30.75" hidden="false" customHeight="true" outlineLevel="0" collapsed="false">
      <c r="A72" s="25" t="s">
        <v>916</v>
      </c>
      <c r="B72" s="25" t="s">
        <v>106</v>
      </c>
      <c r="C72" s="17" t="s">
        <v>917</v>
      </c>
      <c r="D72" s="29" t="s">
        <v>164</v>
      </c>
      <c r="E72" s="26" t="s">
        <v>15</v>
      </c>
      <c r="F72" s="27"/>
      <c r="G72" s="27"/>
      <c r="H72" s="28"/>
    </row>
    <row r="73" customFormat="false" ht="18" hidden="false" customHeight="true" outlineLevel="0" collapsed="false">
      <c r="A73" s="25" t="s">
        <v>918</v>
      </c>
      <c r="B73" s="25" t="s">
        <v>106</v>
      </c>
      <c r="C73" s="17" t="s">
        <v>919</v>
      </c>
      <c r="D73" s="29" t="s">
        <v>164</v>
      </c>
      <c r="E73" s="26" t="s">
        <v>15</v>
      </c>
      <c r="F73" s="27"/>
      <c r="G73" s="27"/>
      <c r="H73" s="28"/>
    </row>
    <row r="74" customFormat="false" ht="30.75" hidden="false" customHeight="true" outlineLevel="0" collapsed="false">
      <c r="A74" s="25" t="s">
        <v>920</v>
      </c>
      <c r="B74" s="25" t="s">
        <v>106</v>
      </c>
      <c r="C74" s="17" t="s">
        <v>921</v>
      </c>
      <c r="D74" s="14" t="s">
        <v>126</v>
      </c>
      <c r="E74" s="26" t="s">
        <v>15</v>
      </c>
      <c r="F74" s="27"/>
      <c r="G74" s="27"/>
      <c r="H74" s="28"/>
    </row>
    <row r="75" customFormat="false" ht="18" hidden="false" customHeight="true" outlineLevel="0" collapsed="false">
      <c r="A75" s="25" t="s">
        <v>922</v>
      </c>
      <c r="B75" s="25" t="s">
        <v>106</v>
      </c>
      <c r="C75" s="12" t="s">
        <v>923</v>
      </c>
      <c r="D75" s="19" t="s">
        <v>179</v>
      </c>
      <c r="E75" s="26" t="s">
        <v>15</v>
      </c>
      <c r="F75" s="27"/>
      <c r="G75" s="27"/>
      <c r="H75" s="28"/>
    </row>
    <row r="76" customFormat="false" ht="21.75" hidden="false" customHeight="true" outlineLevel="0" collapsed="false">
      <c r="A76" s="23" t="s">
        <v>107</v>
      </c>
      <c r="B76" s="24"/>
      <c r="C76" s="24"/>
      <c r="D76" s="24"/>
      <c r="E76" s="24"/>
      <c r="F76" s="24"/>
      <c r="G76" s="24"/>
      <c r="H76" s="24"/>
    </row>
    <row r="77" customFormat="false" ht="18" hidden="false" customHeight="true" outlineLevel="0" collapsed="false">
      <c r="A77" s="25" t="s">
        <v>924</v>
      </c>
      <c r="B77" s="25" t="s">
        <v>107</v>
      </c>
      <c r="C77" s="17" t="s">
        <v>925</v>
      </c>
      <c r="D77" s="29" t="s">
        <v>164</v>
      </c>
      <c r="E77" s="26" t="s">
        <v>15</v>
      </c>
      <c r="F77" s="27"/>
      <c r="G77" s="27"/>
      <c r="H77" s="28"/>
    </row>
    <row r="78" customFormat="false" ht="18" hidden="false" customHeight="true" outlineLevel="0" collapsed="false">
      <c r="A78" s="25" t="s">
        <v>926</v>
      </c>
      <c r="B78" s="25" t="s">
        <v>107</v>
      </c>
      <c r="C78" s="17" t="s">
        <v>927</v>
      </c>
      <c r="D78" s="29" t="s">
        <v>164</v>
      </c>
      <c r="E78" s="26" t="s">
        <v>15</v>
      </c>
      <c r="F78" s="27"/>
      <c r="G78" s="27"/>
      <c r="H78" s="28"/>
    </row>
    <row r="79" customFormat="false" ht="18" hidden="false" customHeight="true" outlineLevel="0" collapsed="false">
      <c r="A79" s="25" t="s">
        <v>928</v>
      </c>
      <c r="B79" s="25" t="s">
        <v>107</v>
      </c>
      <c r="C79" s="17" t="s">
        <v>929</v>
      </c>
      <c r="D79" s="29" t="s">
        <v>164</v>
      </c>
      <c r="E79" s="26" t="s">
        <v>15</v>
      </c>
      <c r="F79" s="27"/>
      <c r="G79" s="27"/>
      <c r="H79" s="28"/>
    </row>
    <row r="80" customFormat="false" ht="18" hidden="false" customHeight="true" outlineLevel="0" collapsed="false">
      <c r="A80" s="25" t="s">
        <v>930</v>
      </c>
      <c r="B80" s="25" t="s">
        <v>107</v>
      </c>
      <c r="C80" s="17" t="s">
        <v>931</v>
      </c>
      <c r="D80" s="29" t="s">
        <v>164</v>
      </c>
      <c r="E80" s="26" t="s">
        <v>15</v>
      </c>
      <c r="F80" s="27"/>
      <c r="G80" s="27"/>
      <c r="H80" s="28"/>
    </row>
    <row r="81" customFormat="false" ht="18" hidden="false" customHeight="true" outlineLevel="0" collapsed="false">
      <c r="A81" s="25" t="s">
        <v>932</v>
      </c>
      <c r="B81" s="25" t="s">
        <v>107</v>
      </c>
      <c r="C81" s="17" t="s">
        <v>933</v>
      </c>
      <c r="D81" s="29" t="s">
        <v>164</v>
      </c>
      <c r="E81" s="26" t="s">
        <v>15</v>
      </c>
      <c r="F81" s="27"/>
      <c r="G81" s="27"/>
      <c r="H81" s="28"/>
    </row>
    <row r="82" customFormat="false" ht="30.75" hidden="false" customHeight="true" outlineLevel="0" collapsed="false">
      <c r="A82" s="25" t="s">
        <v>934</v>
      </c>
      <c r="B82" s="25" t="s">
        <v>107</v>
      </c>
      <c r="C82" s="17" t="s">
        <v>935</v>
      </c>
      <c r="D82" s="14" t="s">
        <v>126</v>
      </c>
      <c r="E82" s="26" t="s">
        <v>15</v>
      </c>
      <c r="F82" s="27"/>
      <c r="G82" s="27"/>
      <c r="H82" s="28"/>
    </row>
    <row r="83" customFormat="false" ht="18" hidden="false" customHeight="true" outlineLevel="0" collapsed="false">
      <c r="A83" s="25" t="s">
        <v>936</v>
      </c>
      <c r="B83" s="25" t="s">
        <v>107</v>
      </c>
      <c r="C83" s="17" t="s">
        <v>937</v>
      </c>
      <c r="D83" s="14" t="s">
        <v>126</v>
      </c>
      <c r="E83" s="26" t="s">
        <v>15</v>
      </c>
      <c r="F83" s="27"/>
      <c r="G83" s="27"/>
      <c r="H83" s="28"/>
    </row>
    <row r="84" customFormat="false" ht="18" hidden="false" customHeight="true" outlineLevel="0" collapsed="false">
      <c r="A84" s="25" t="s">
        <v>938</v>
      </c>
      <c r="B84" s="25" t="s">
        <v>107</v>
      </c>
      <c r="C84" s="17" t="s">
        <v>939</v>
      </c>
      <c r="D84" s="14" t="s">
        <v>126</v>
      </c>
      <c r="E84" s="26" t="s">
        <v>15</v>
      </c>
      <c r="F84" s="27"/>
      <c r="G84" s="27"/>
      <c r="H84" s="28"/>
    </row>
    <row r="85" customFormat="false" ht="18" hidden="false" customHeight="true" outlineLevel="0" collapsed="false">
      <c r="A85" s="25" t="s">
        <v>940</v>
      </c>
      <c r="B85" s="25" t="s">
        <v>107</v>
      </c>
      <c r="C85" s="12" t="s">
        <v>941</v>
      </c>
      <c r="D85" s="19" t="s">
        <v>179</v>
      </c>
      <c r="E85" s="26" t="s">
        <v>15</v>
      </c>
      <c r="F85" s="27"/>
      <c r="G85" s="27"/>
      <c r="H85" s="28"/>
    </row>
    <row r="86" customFormat="false" ht="21.75" hidden="false" customHeight="true" outlineLevel="0" collapsed="false">
      <c r="A86" s="23" t="s">
        <v>108</v>
      </c>
      <c r="B86" s="24"/>
      <c r="C86" s="24"/>
      <c r="D86" s="24"/>
      <c r="E86" s="24"/>
      <c r="F86" s="24"/>
      <c r="G86" s="24"/>
      <c r="H86" s="24"/>
    </row>
    <row r="87" customFormat="false" ht="18" hidden="false" customHeight="true" outlineLevel="0" collapsed="false">
      <c r="A87" s="25" t="s">
        <v>942</v>
      </c>
      <c r="B87" s="25" t="s">
        <v>108</v>
      </c>
      <c r="C87" s="17" t="s">
        <v>943</v>
      </c>
      <c r="D87" s="29" t="s">
        <v>164</v>
      </c>
      <c r="E87" s="26" t="s">
        <v>15</v>
      </c>
      <c r="F87" s="27"/>
      <c r="G87" s="27"/>
      <c r="H87" s="28"/>
    </row>
    <row r="88" customFormat="false" ht="18" hidden="false" customHeight="true" outlineLevel="0" collapsed="false">
      <c r="A88" s="25" t="s">
        <v>944</v>
      </c>
      <c r="B88" s="25" t="s">
        <v>108</v>
      </c>
      <c r="C88" s="17" t="s">
        <v>945</v>
      </c>
      <c r="D88" s="29" t="s">
        <v>164</v>
      </c>
      <c r="E88" s="26" t="s">
        <v>15</v>
      </c>
      <c r="F88" s="27"/>
      <c r="G88" s="27"/>
      <c r="H88" s="28"/>
    </row>
    <row r="89" customFormat="false" ht="18" hidden="false" customHeight="true" outlineLevel="0" collapsed="false">
      <c r="A89" s="25" t="s">
        <v>946</v>
      </c>
      <c r="B89" s="25" t="s">
        <v>108</v>
      </c>
      <c r="C89" s="17" t="s">
        <v>947</v>
      </c>
      <c r="D89" s="29" t="s">
        <v>164</v>
      </c>
      <c r="E89" s="26" t="s">
        <v>15</v>
      </c>
      <c r="F89" s="27"/>
      <c r="G89" s="27"/>
      <c r="H89" s="28"/>
    </row>
    <row r="90" customFormat="false" ht="18" hidden="false" customHeight="true" outlineLevel="0" collapsed="false">
      <c r="A90" s="25" t="s">
        <v>948</v>
      </c>
      <c r="B90" s="25" t="s">
        <v>108</v>
      </c>
      <c r="C90" s="17" t="s">
        <v>949</v>
      </c>
      <c r="D90" s="29" t="s">
        <v>164</v>
      </c>
      <c r="E90" s="26" t="s">
        <v>15</v>
      </c>
      <c r="F90" s="27"/>
      <c r="G90" s="27"/>
      <c r="H90" s="28"/>
    </row>
    <row r="91" customFormat="false" ht="18" hidden="false" customHeight="true" outlineLevel="0" collapsed="false">
      <c r="A91" s="25" t="s">
        <v>950</v>
      </c>
      <c r="B91" s="25" t="s">
        <v>108</v>
      </c>
      <c r="C91" s="12" t="s">
        <v>951</v>
      </c>
      <c r="D91" s="19" t="s">
        <v>179</v>
      </c>
      <c r="E91" s="26" t="s">
        <v>15</v>
      </c>
      <c r="F91" s="27"/>
      <c r="G91" s="27"/>
      <c r="H91" s="28"/>
    </row>
    <row r="92" customFormat="false" ht="21.75" hidden="false" customHeight="true" outlineLevel="0" collapsed="false">
      <c r="A92" s="23" t="s">
        <v>109</v>
      </c>
      <c r="B92" s="24"/>
      <c r="C92" s="24"/>
      <c r="D92" s="24"/>
      <c r="E92" s="24"/>
      <c r="F92" s="24"/>
      <c r="G92" s="24"/>
      <c r="H92" s="24"/>
    </row>
    <row r="93" customFormat="false" ht="30.75" hidden="false" customHeight="true" outlineLevel="0" collapsed="false">
      <c r="A93" s="25" t="s">
        <v>952</v>
      </c>
      <c r="B93" s="25" t="s">
        <v>109</v>
      </c>
      <c r="C93" s="17" t="s">
        <v>953</v>
      </c>
      <c r="D93" s="29" t="s">
        <v>164</v>
      </c>
      <c r="E93" s="26" t="s">
        <v>15</v>
      </c>
      <c r="F93" s="27"/>
      <c r="G93" s="27"/>
      <c r="H93" s="28"/>
    </row>
    <row r="94" customFormat="false" ht="30.75" hidden="false" customHeight="true" outlineLevel="0" collapsed="false">
      <c r="A94" s="25" t="s">
        <v>954</v>
      </c>
      <c r="B94" s="25" t="s">
        <v>109</v>
      </c>
      <c r="C94" s="17" t="s">
        <v>955</v>
      </c>
      <c r="D94" s="29" t="s">
        <v>164</v>
      </c>
      <c r="E94" s="26" t="s">
        <v>15</v>
      </c>
      <c r="F94" s="27"/>
      <c r="G94" s="27"/>
      <c r="H94" s="28"/>
    </row>
    <row r="95" customFormat="false" ht="30.75" hidden="false" customHeight="true" outlineLevel="0" collapsed="false">
      <c r="A95" s="25" t="s">
        <v>956</v>
      </c>
      <c r="B95" s="25" t="s">
        <v>109</v>
      </c>
      <c r="C95" s="17" t="s">
        <v>957</v>
      </c>
      <c r="D95" s="29" t="s">
        <v>164</v>
      </c>
      <c r="E95" s="26" t="s">
        <v>15</v>
      </c>
      <c r="F95" s="27"/>
      <c r="G95" s="27"/>
      <c r="H95" s="28"/>
    </row>
    <row r="96" customFormat="false" ht="18" hidden="false" customHeight="true" outlineLevel="0" collapsed="false">
      <c r="A96" s="25" t="s">
        <v>958</v>
      </c>
      <c r="B96" s="25" t="s">
        <v>109</v>
      </c>
      <c r="C96" s="17" t="s">
        <v>959</v>
      </c>
      <c r="D96" s="29" t="s">
        <v>164</v>
      </c>
      <c r="E96" s="26" t="s">
        <v>15</v>
      </c>
      <c r="F96" s="27"/>
      <c r="G96" s="27"/>
      <c r="H96" s="28"/>
    </row>
    <row r="97" customFormat="false" ht="18" hidden="false" customHeight="true" outlineLevel="0" collapsed="false">
      <c r="A97" s="25" t="s">
        <v>960</v>
      </c>
      <c r="B97" s="25" t="s">
        <v>109</v>
      </c>
      <c r="C97" s="17" t="s">
        <v>961</v>
      </c>
      <c r="D97" s="29" t="s">
        <v>164</v>
      </c>
      <c r="E97" s="26" t="s">
        <v>15</v>
      </c>
      <c r="F97" s="27"/>
      <c r="G97" s="27"/>
      <c r="H97" s="28"/>
    </row>
    <row r="98" customFormat="false" ht="18" hidden="false" customHeight="true" outlineLevel="0" collapsed="false">
      <c r="A98" s="25" t="s">
        <v>962</v>
      </c>
      <c r="B98" s="25" t="s">
        <v>109</v>
      </c>
      <c r="C98" s="17" t="s">
        <v>963</v>
      </c>
      <c r="D98" s="14" t="s">
        <v>126</v>
      </c>
      <c r="E98" s="26" t="s">
        <v>15</v>
      </c>
      <c r="F98" s="27"/>
      <c r="G98" s="27"/>
      <c r="H98" s="28"/>
    </row>
    <row r="99" customFormat="false" ht="18" hidden="false" customHeight="true" outlineLevel="0" collapsed="false">
      <c r="A99" s="25" t="s">
        <v>964</v>
      </c>
      <c r="B99" s="25" t="s">
        <v>109</v>
      </c>
      <c r="C99" s="12" t="s">
        <v>965</v>
      </c>
      <c r="D99" s="19" t="s">
        <v>179</v>
      </c>
      <c r="E99" s="26" t="s">
        <v>15</v>
      </c>
      <c r="F99" s="27"/>
      <c r="G99" s="27"/>
      <c r="H99" s="28"/>
    </row>
    <row r="100" customFormat="false" ht="21.75" hidden="false" customHeight="true" outlineLevel="0" collapsed="false">
      <c r="A100" s="23" t="s">
        <v>110</v>
      </c>
      <c r="B100" s="24"/>
      <c r="C100" s="24"/>
      <c r="D100" s="24"/>
      <c r="E100" s="24"/>
      <c r="F100" s="24"/>
      <c r="G100" s="24"/>
      <c r="H100" s="24"/>
    </row>
    <row r="101" customFormat="false" ht="18" hidden="false" customHeight="true" outlineLevel="0" collapsed="false">
      <c r="A101" s="25" t="s">
        <v>966</v>
      </c>
      <c r="B101" s="25" t="s">
        <v>110</v>
      </c>
      <c r="C101" s="17" t="s">
        <v>967</v>
      </c>
      <c r="D101" s="29" t="s">
        <v>164</v>
      </c>
      <c r="E101" s="26" t="s">
        <v>15</v>
      </c>
      <c r="F101" s="27"/>
      <c r="G101" s="27"/>
      <c r="H101" s="28"/>
    </row>
    <row r="102" customFormat="false" ht="30.75" hidden="false" customHeight="true" outlineLevel="0" collapsed="false">
      <c r="A102" s="25" t="s">
        <v>968</v>
      </c>
      <c r="B102" s="25" t="s">
        <v>110</v>
      </c>
      <c r="C102" s="17" t="s">
        <v>969</v>
      </c>
      <c r="D102" s="14" t="s">
        <v>126</v>
      </c>
      <c r="E102" s="26" t="s">
        <v>15</v>
      </c>
      <c r="F102" s="27"/>
      <c r="G102" s="27"/>
      <c r="H102" s="28"/>
    </row>
    <row r="103" customFormat="false" ht="18" hidden="false" customHeight="true" outlineLevel="0" collapsed="false">
      <c r="A103" s="25" t="s">
        <v>970</v>
      </c>
      <c r="B103" s="25" t="s">
        <v>110</v>
      </c>
      <c r="C103" s="17" t="s">
        <v>971</v>
      </c>
      <c r="D103" s="14" t="s">
        <v>126</v>
      </c>
      <c r="E103" s="26" t="s">
        <v>15</v>
      </c>
      <c r="F103" s="27"/>
      <c r="G103" s="27"/>
      <c r="H103" s="28"/>
    </row>
    <row r="104" customFormat="false" ht="18" hidden="false" customHeight="true" outlineLevel="0" collapsed="false">
      <c r="A104" s="25" t="s">
        <v>972</v>
      </c>
      <c r="B104" s="25" t="s">
        <v>110</v>
      </c>
      <c r="C104" s="17" t="s">
        <v>973</v>
      </c>
      <c r="D104" s="14" t="s">
        <v>126</v>
      </c>
      <c r="E104" s="26" t="s">
        <v>15</v>
      </c>
      <c r="F104" s="27"/>
      <c r="G104" s="27"/>
      <c r="H104" s="28"/>
    </row>
    <row r="105" customFormat="false" ht="18" hidden="false" customHeight="true" outlineLevel="0" collapsed="false">
      <c r="A105" s="25" t="s">
        <v>974</v>
      </c>
      <c r="B105" s="25" t="s">
        <v>110</v>
      </c>
      <c r="C105" s="12" t="s">
        <v>975</v>
      </c>
      <c r="D105" s="19" t="s">
        <v>179</v>
      </c>
      <c r="E105" s="26" t="s">
        <v>15</v>
      </c>
      <c r="F105" s="27"/>
      <c r="G105" s="27"/>
      <c r="H105" s="28"/>
    </row>
    <row r="106" customFormat="false" ht="21.75" hidden="false" customHeight="true" outlineLevel="0" collapsed="false">
      <c r="A106" s="23" t="s">
        <v>111</v>
      </c>
      <c r="B106" s="24"/>
      <c r="C106" s="24"/>
      <c r="D106" s="24"/>
      <c r="E106" s="24"/>
      <c r="F106" s="24"/>
      <c r="G106" s="24"/>
      <c r="H106" s="24"/>
    </row>
    <row r="107" customFormat="false" ht="43.5" hidden="false" customHeight="true" outlineLevel="0" collapsed="false">
      <c r="A107" s="25" t="s">
        <v>976</v>
      </c>
      <c r="B107" s="25" t="s">
        <v>111</v>
      </c>
      <c r="C107" s="17" t="s">
        <v>977</v>
      </c>
      <c r="D107" s="14" t="s">
        <v>126</v>
      </c>
      <c r="E107" s="26" t="s">
        <v>15</v>
      </c>
      <c r="F107" s="27"/>
      <c r="G107" s="27"/>
      <c r="H107" s="28"/>
    </row>
    <row r="108" customFormat="false" ht="30.75" hidden="false" customHeight="true" outlineLevel="0" collapsed="false">
      <c r="A108" s="25" t="s">
        <v>978</v>
      </c>
      <c r="B108" s="25" t="s">
        <v>111</v>
      </c>
      <c r="C108" s="12" t="s">
        <v>979</v>
      </c>
      <c r="D108" s="19" t="s">
        <v>179</v>
      </c>
      <c r="E108" s="26" t="s">
        <v>15</v>
      </c>
      <c r="F108" s="27"/>
      <c r="G108" s="27"/>
      <c r="H108" s="28"/>
    </row>
  </sheetData>
  <autoFilter ref="A5:H108"/>
  <conditionalFormatting sqref="B3">
    <cfRule type="dataBar" priority="2">
      <dataBar showValue="1" minLength="10" maxLength="90">
        <cfvo type="num" val="0"/>
        <cfvo type="num" val="1"/>
        <color rgb="FF70AD47"/>
      </dataBar>
      <extLst>
        <ext xmlns:x14="http://schemas.microsoft.com/office/spreadsheetml/2009/9/main" uri="{B025F937-C7B1-47D3-B67F-A62EFF666E3E}">
          <x14:id>{2ED965F4-727D-4268-9279-505E96732863}</x14:id>
        </ext>
      </extLst>
    </cfRule>
  </conditionalFormatting>
  <conditionalFormatting sqref="E6:E108">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108">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11 E13:E21 E23:E32 E34:E39 E41:E53 E55:E66 E68:E75 E77:E85 E87:E91 E93:E99 E101:E105 E107:E108"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ED965F4-727D-4268-9279-505E96732863}">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80"/>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40"/>
  </cols>
  <sheetData>
    <row r="1" customFormat="false" ht="25.5" hidden="false" customHeight="true" outlineLevel="0" collapsed="false">
      <c r="A1" s="1" t="s">
        <v>36</v>
      </c>
    </row>
    <row r="2" customFormat="false" ht="15" hidden="false" customHeight="false" outlineLevel="0" collapsed="false">
      <c r="A2" s="2" t="s">
        <v>980</v>
      </c>
    </row>
    <row r="3" customFormat="false" ht="21.75" hidden="false" customHeight="true" outlineLevel="0" collapsed="false">
      <c r="A3" s="21" t="s">
        <v>124</v>
      </c>
      <c r="B3" s="10" t="n">
        <f aca="false">IFERROR(COUNTIF($E$6:$E$600,"Done")/(COUNTA($E$6:$E$600)-COUNTIF($E$6:$E$600,"Skipped")),0)</f>
        <v>0</v>
      </c>
      <c r="C3" s="22" t="str">
        <f aca="false">COUNTIF($E$6:$E$600,"Done")&amp;" of "&amp;(COUNTA($E$6:$E$600)-COUNTIF($E$6:$E$600,"Skipped"))&amp;" items done   |   In progress: "&amp;COUNTIF($E$6:$E$600,"In progress")&amp;"   |   Blocked: "&amp;COUNTIF($E$6:$E$600,"Blocked")&amp;"   |   Skipped: "&amp;COUNTIF($E$6:$E$600,"Skipped")</f>
        <v>0 of 77 items done   |   In progress: 0   |   Blocked: 0   |   Skipped: 0</v>
      </c>
    </row>
    <row r="5" customFormat="false" ht="30" hidden="false" customHeight="true" outlineLevel="0" collapsed="false">
      <c r="A5" s="6" t="s">
        <v>125</v>
      </c>
      <c r="B5" s="6" t="s">
        <v>55</v>
      </c>
      <c r="C5" s="6" t="s">
        <v>126</v>
      </c>
      <c r="D5" s="6" t="s">
        <v>127</v>
      </c>
      <c r="E5" s="6" t="s">
        <v>128</v>
      </c>
      <c r="F5" s="6" t="s">
        <v>129</v>
      </c>
      <c r="G5" s="6" t="s">
        <v>130</v>
      </c>
      <c r="H5" s="6" t="s">
        <v>131</v>
      </c>
    </row>
    <row r="6" customFormat="false" ht="21.75" hidden="false" customHeight="true" outlineLevel="0" collapsed="false">
      <c r="A6" s="23" t="s">
        <v>113</v>
      </c>
      <c r="B6" s="24"/>
      <c r="C6" s="24"/>
      <c r="D6" s="24"/>
      <c r="E6" s="24"/>
      <c r="F6" s="24"/>
      <c r="G6" s="24"/>
      <c r="H6" s="24"/>
    </row>
    <row r="7" customFormat="false" ht="30.75" hidden="false" customHeight="true" outlineLevel="0" collapsed="false">
      <c r="A7" s="25" t="s">
        <v>981</v>
      </c>
      <c r="B7" s="25" t="s">
        <v>113</v>
      </c>
      <c r="C7" s="17" t="s">
        <v>982</v>
      </c>
      <c r="D7" s="14" t="s">
        <v>126</v>
      </c>
      <c r="E7" s="26" t="s">
        <v>15</v>
      </c>
      <c r="F7" s="27"/>
      <c r="G7" s="27"/>
      <c r="H7" s="28"/>
    </row>
    <row r="8" customFormat="false" ht="30.75" hidden="false" customHeight="true" outlineLevel="0" collapsed="false">
      <c r="A8" s="25" t="s">
        <v>983</v>
      </c>
      <c r="B8" s="25" t="s">
        <v>113</v>
      </c>
      <c r="C8" s="17" t="s">
        <v>984</v>
      </c>
      <c r="D8" s="14" t="s">
        <v>126</v>
      </c>
      <c r="E8" s="26" t="s">
        <v>15</v>
      </c>
      <c r="F8" s="27"/>
      <c r="G8" s="27"/>
      <c r="H8" s="28"/>
    </row>
    <row r="9" customFormat="false" ht="18" hidden="false" customHeight="true" outlineLevel="0" collapsed="false">
      <c r="A9" s="25" t="s">
        <v>985</v>
      </c>
      <c r="B9" s="25" t="s">
        <v>113</v>
      </c>
      <c r="C9" s="17" t="s">
        <v>986</v>
      </c>
      <c r="D9" s="14" t="s">
        <v>126</v>
      </c>
      <c r="E9" s="26" t="s">
        <v>15</v>
      </c>
      <c r="F9" s="27"/>
      <c r="G9" s="27"/>
      <c r="H9" s="28"/>
    </row>
    <row r="10" customFormat="false" ht="18" hidden="false" customHeight="true" outlineLevel="0" collapsed="false">
      <c r="A10" s="25" t="s">
        <v>987</v>
      </c>
      <c r="B10" s="25" t="s">
        <v>113</v>
      </c>
      <c r="C10" s="17" t="s">
        <v>988</v>
      </c>
      <c r="D10" s="14" t="s">
        <v>126</v>
      </c>
      <c r="E10" s="26" t="s">
        <v>15</v>
      </c>
      <c r="F10" s="27"/>
      <c r="G10" s="27"/>
      <c r="H10" s="28"/>
    </row>
    <row r="11" customFormat="false" ht="18" hidden="false" customHeight="true" outlineLevel="0" collapsed="false">
      <c r="A11" s="25" t="s">
        <v>989</v>
      </c>
      <c r="B11" s="25" t="s">
        <v>113</v>
      </c>
      <c r="C11" s="17" t="s">
        <v>990</v>
      </c>
      <c r="D11" s="14" t="s">
        <v>126</v>
      </c>
      <c r="E11" s="26" t="s">
        <v>15</v>
      </c>
      <c r="F11" s="27"/>
      <c r="G11" s="27"/>
      <c r="H11" s="28"/>
    </row>
    <row r="12" customFormat="false" ht="30.75" hidden="false" customHeight="true" outlineLevel="0" collapsed="false">
      <c r="A12" s="25" t="s">
        <v>991</v>
      </c>
      <c r="B12" s="25" t="s">
        <v>113</v>
      </c>
      <c r="C12" s="17" t="s">
        <v>992</v>
      </c>
      <c r="D12" s="14" t="s">
        <v>126</v>
      </c>
      <c r="E12" s="26" t="s">
        <v>15</v>
      </c>
      <c r="F12" s="27"/>
      <c r="G12" s="27"/>
      <c r="H12" s="28"/>
    </row>
    <row r="13" customFormat="false" ht="18" hidden="false" customHeight="true" outlineLevel="0" collapsed="false">
      <c r="A13" s="25" t="s">
        <v>993</v>
      </c>
      <c r="B13" s="25" t="s">
        <v>113</v>
      </c>
      <c r="C13" s="17" t="s">
        <v>994</v>
      </c>
      <c r="D13" s="14" t="s">
        <v>126</v>
      </c>
      <c r="E13" s="26" t="s">
        <v>15</v>
      </c>
      <c r="F13" s="27"/>
      <c r="G13" s="27"/>
      <c r="H13" s="28"/>
    </row>
    <row r="14" customFormat="false" ht="18" hidden="false" customHeight="true" outlineLevel="0" collapsed="false">
      <c r="A14" s="25" t="s">
        <v>995</v>
      </c>
      <c r="B14" s="25" t="s">
        <v>113</v>
      </c>
      <c r="C14" s="12" t="s">
        <v>996</v>
      </c>
      <c r="D14" s="19" t="s">
        <v>179</v>
      </c>
      <c r="E14" s="26" t="s">
        <v>15</v>
      </c>
      <c r="F14" s="27"/>
      <c r="G14" s="27"/>
      <c r="H14" s="28"/>
    </row>
    <row r="15" customFormat="false" ht="21.75" hidden="false" customHeight="true" outlineLevel="0" collapsed="false">
      <c r="A15" s="23" t="s">
        <v>114</v>
      </c>
      <c r="B15" s="24"/>
      <c r="C15" s="24"/>
      <c r="D15" s="24"/>
      <c r="E15" s="24"/>
      <c r="F15" s="24"/>
      <c r="G15" s="24"/>
      <c r="H15" s="24"/>
    </row>
    <row r="16" customFormat="false" ht="30.75" hidden="false" customHeight="true" outlineLevel="0" collapsed="false">
      <c r="A16" s="25" t="s">
        <v>997</v>
      </c>
      <c r="B16" s="25" t="s">
        <v>114</v>
      </c>
      <c r="C16" s="17" t="s">
        <v>998</v>
      </c>
      <c r="D16" s="14" t="s">
        <v>126</v>
      </c>
      <c r="E16" s="26" t="s">
        <v>15</v>
      </c>
      <c r="F16" s="27"/>
      <c r="G16" s="27"/>
      <c r="H16" s="28"/>
    </row>
    <row r="17" customFormat="false" ht="18" hidden="false" customHeight="true" outlineLevel="0" collapsed="false">
      <c r="A17" s="25" t="s">
        <v>999</v>
      </c>
      <c r="B17" s="25" t="s">
        <v>114</v>
      </c>
      <c r="C17" s="17" t="s">
        <v>1000</v>
      </c>
      <c r="D17" s="14" t="s">
        <v>126</v>
      </c>
      <c r="E17" s="26" t="s">
        <v>15</v>
      </c>
      <c r="F17" s="27"/>
      <c r="G17" s="27"/>
      <c r="H17" s="28"/>
    </row>
    <row r="18" customFormat="false" ht="30.75" hidden="false" customHeight="true" outlineLevel="0" collapsed="false">
      <c r="A18" s="25" t="s">
        <v>1001</v>
      </c>
      <c r="B18" s="25" t="s">
        <v>114</v>
      </c>
      <c r="C18" s="17" t="s">
        <v>1002</v>
      </c>
      <c r="D18" s="14" t="s">
        <v>126</v>
      </c>
      <c r="E18" s="26" t="s">
        <v>15</v>
      </c>
      <c r="F18" s="27"/>
      <c r="G18" s="27"/>
      <c r="H18" s="28"/>
    </row>
    <row r="19" customFormat="false" ht="18" hidden="false" customHeight="true" outlineLevel="0" collapsed="false">
      <c r="A19" s="25" t="s">
        <v>1003</v>
      </c>
      <c r="B19" s="25" t="s">
        <v>114</v>
      </c>
      <c r="C19" s="17" t="s">
        <v>1004</v>
      </c>
      <c r="D19" s="29" t="s">
        <v>164</v>
      </c>
      <c r="E19" s="26" t="s">
        <v>15</v>
      </c>
      <c r="F19" s="27"/>
      <c r="G19" s="27"/>
      <c r="H19" s="28"/>
    </row>
    <row r="20" customFormat="false" ht="30.75" hidden="false" customHeight="true" outlineLevel="0" collapsed="false">
      <c r="A20" s="25" t="s">
        <v>1005</v>
      </c>
      <c r="B20" s="25" t="s">
        <v>114</v>
      </c>
      <c r="C20" s="17" t="s">
        <v>1006</v>
      </c>
      <c r="D20" s="14" t="s">
        <v>126</v>
      </c>
      <c r="E20" s="26" t="s">
        <v>15</v>
      </c>
      <c r="F20" s="27"/>
      <c r="G20" s="27"/>
      <c r="H20" s="28"/>
    </row>
    <row r="21" customFormat="false" ht="18" hidden="false" customHeight="true" outlineLevel="0" collapsed="false">
      <c r="A21" s="25" t="s">
        <v>1007</v>
      </c>
      <c r="B21" s="25" t="s">
        <v>114</v>
      </c>
      <c r="C21" s="17" t="s">
        <v>1008</v>
      </c>
      <c r="D21" s="14" t="s">
        <v>126</v>
      </c>
      <c r="E21" s="26" t="s">
        <v>15</v>
      </c>
      <c r="F21" s="27"/>
      <c r="G21" s="27"/>
      <c r="H21" s="28"/>
    </row>
    <row r="22" customFormat="false" ht="18" hidden="false" customHeight="true" outlineLevel="0" collapsed="false">
      <c r="A22" s="25" t="s">
        <v>1009</v>
      </c>
      <c r="B22" s="25" t="s">
        <v>114</v>
      </c>
      <c r="C22" s="17" t="s">
        <v>1010</v>
      </c>
      <c r="D22" s="29" t="s">
        <v>164</v>
      </c>
      <c r="E22" s="26" t="s">
        <v>15</v>
      </c>
      <c r="F22" s="27"/>
      <c r="G22" s="27"/>
      <c r="H22" s="28"/>
    </row>
    <row r="23" customFormat="false" ht="18" hidden="false" customHeight="true" outlineLevel="0" collapsed="false">
      <c r="A23" s="25" t="s">
        <v>1011</v>
      </c>
      <c r="B23" s="25" t="s">
        <v>114</v>
      </c>
      <c r="C23" s="17" t="s">
        <v>1012</v>
      </c>
      <c r="D23" s="14" t="s">
        <v>126</v>
      </c>
      <c r="E23" s="26" t="s">
        <v>15</v>
      </c>
      <c r="F23" s="27"/>
      <c r="G23" s="27"/>
      <c r="H23" s="28"/>
    </row>
    <row r="24" customFormat="false" ht="30.75" hidden="false" customHeight="true" outlineLevel="0" collapsed="false">
      <c r="A24" s="25" t="s">
        <v>1013</v>
      </c>
      <c r="B24" s="25" t="s">
        <v>114</v>
      </c>
      <c r="C24" s="12" t="s">
        <v>1014</v>
      </c>
      <c r="D24" s="19" t="s">
        <v>179</v>
      </c>
      <c r="E24" s="26" t="s">
        <v>15</v>
      </c>
      <c r="F24" s="27"/>
      <c r="G24" s="27"/>
      <c r="H24" s="28"/>
    </row>
    <row r="25" customFormat="false" ht="21.75" hidden="false" customHeight="true" outlineLevel="0" collapsed="false">
      <c r="A25" s="23" t="s">
        <v>115</v>
      </c>
      <c r="B25" s="24"/>
      <c r="C25" s="24"/>
      <c r="D25" s="24"/>
      <c r="E25" s="24"/>
      <c r="F25" s="24"/>
      <c r="G25" s="24"/>
      <c r="H25" s="24"/>
    </row>
    <row r="26" customFormat="false" ht="18" hidden="false" customHeight="true" outlineLevel="0" collapsed="false">
      <c r="A26" s="25" t="s">
        <v>1015</v>
      </c>
      <c r="B26" s="25" t="s">
        <v>115</v>
      </c>
      <c r="C26" s="17" t="s">
        <v>1016</v>
      </c>
      <c r="D26" s="14" t="s">
        <v>126</v>
      </c>
      <c r="E26" s="26" t="s">
        <v>15</v>
      </c>
      <c r="F26" s="27"/>
      <c r="G26" s="27"/>
      <c r="H26" s="28"/>
    </row>
    <row r="27" customFormat="false" ht="30.75" hidden="false" customHeight="true" outlineLevel="0" collapsed="false">
      <c r="A27" s="25" t="s">
        <v>1017</v>
      </c>
      <c r="B27" s="25" t="s">
        <v>115</v>
      </c>
      <c r="C27" s="17" t="s">
        <v>1018</v>
      </c>
      <c r="D27" s="29" t="s">
        <v>164</v>
      </c>
      <c r="E27" s="26" t="s">
        <v>15</v>
      </c>
      <c r="F27" s="27"/>
      <c r="G27" s="27"/>
      <c r="H27" s="28"/>
    </row>
    <row r="28" customFormat="false" ht="18" hidden="false" customHeight="true" outlineLevel="0" collapsed="false">
      <c r="A28" s="25" t="s">
        <v>1019</v>
      </c>
      <c r="B28" s="25" t="s">
        <v>115</v>
      </c>
      <c r="C28" s="17" t="s">
        <v>1020</v>
      </c>
      <c r="D28" s="29" t="s">
        <v>164</v>
      </c>
      <c r="E28" s="26" t="s">
        <v>15</v>
      </c>
      <c r="F28" s="27"/>
      <c r="G28" s="27"/>
      <c r="H28" s="28"/>
    </row>
    <row r="29" customFormat="false" ht="18" hidden="false" customHeight="true" outlineLevel="0" collapsed="false">
      <c r="A29" s="25" t="s">
        <v>1021</v>
      </c>
      <c r="B29" s="25" t="s">
        <v>115</v>
      </c>
      <c r="C29" s="17" t="s">
        <v>1022</v>
      </c>
      <c r="D29" s="14" t="s">
        <v>126</v>
      </c>
      <c r="E29" s="26" t="s">
        <v>15</v>
      </c>
      <c r="F29" s="27"/>
      <c r="G29" s="27"/>
      <c r="H29" s="28"/>
    </row>
    <row r="30" customFormat="false" ht="30.75" hidden="false" customHeight="true" outlineLevel="0" collapsed="false">
      <c r="A30" s="25" t="s">
        <v>1023</v>
      </c>
      <c r="B30" s="25" t="s">
        <v>115</v>
      </c>
      <c r="C30" s="17" t="s">
        <v>1024</v>
      </c>
      <c r="D30" s="14" t="s">
        <v>126</v>
      </c>
      <c r="E30" s="26" t="s">
        <v>15</v>
      </c>
      <c r="F30" s="27"/>
      <c r="G30" s="27"/>
      <c r="H30" s="28"/>
    </row>
    <row r="31" customFormat="false" ht="30.75" hidden="false" customHeight="true" outlineLevel="0" collapsed="false">
      <c r="A31" s="25" t="s">
        <v>1025</v>
      </c>
      <c r="B31" s="25" t="s">
        <v>115</v>
      </c>
      <c r="C31" s="12" t="s">
        <v>1026</v>
      </c>
      <c r="D31" s="19" t="s">
        <v>179</v>
      </c>
      <c r="E31" s="26" t="s">
        <v>15</v>
      </c>
      <c r="F31" s="27"/>
      <c r="G31" s="27"/>
      <c r="H31" s="28"/>
    </row>
    <row r="32" customFormat="false" ht="21.75" hidden="false" customHeight="true" outlineLevel="0" collapsed="false">
      <c r="A32" s="23" t="s">
        <v>116</v>
      </c>
      <c r="B32" s="24"/>
      <c r="C32" s="24"/>
      <c r="D32" s="24"/>
      <c r="E32" s="24"/>
      <c r="F32" s="24"/>
      <c r="G32" s="24"/>
      <c r="H32" s="24"/>
    </row>
    <row r="33" customFormat="false" ht="30.75" hidden="false" customHeight="true" outlineLevel="0" collapsed="false">
      <c r="A33" s="25" t="s">
        <v>1027</v>
      </c>
      <c r="B33" s="25" t="s">
        <v>116</v>
      </c>
      <c r="C33" s="17" t="s">
        <v>1028</v>
      </c>
      <c r="D33" s="14" t="s">
        <v>126</v>
      </c>
      <c r="E33" s="26" t="s">
        <v>15</v>
      </c>
      <c r="F33" s="27"/>
      <c r="G33" s="27"/>
      <c r="H33" s="28"/>
    </row>
    <row r="34" customFormat="false" ht="30.75" hidden="false" customHeight="true" outlineLevel="0" collapsed="false">
      <c r="A34" s="25" t="s">
        <v>1029</v>
      </c>
      <c r="B34" s="25" t="s">
        <v>116</v>
      </c>
      <c r="C34" s="17" t="s">
        <v>1030</v>
      </c>
      <c r="D34" s="14" t="s">
        <v>126</v>
      </c>
      <c r="E34" s="26" t="s">
        <v>15</v>
      </c>
      <c r="F34" s="27"/>
      <c r="G34" s="27"/>
      <c r="H34" s="28"/>
    </row>
    <row r="35" customFormat="false" ht="18" hidden="false" customHeight="true" outlineLevel="0" collapsed="false">
      <c r="A35" s="25" t="s">
        <v>1031</v>
      </c>
      <c r="B35" s="25" t="s">
        <v>116</v>
      </c>
      <c r="C35" s="17" t="s">
        <v>1032</v>
      </c>
      <c r="D35" s="29" t="s">
        <v>164</v>
      </c>
      <c r="E35" s="26" t="s">
        <v>15</v>
      </c>
      <c r="F35" s="27"/>
      <c r="G35" s="27"/>
      <c r="H35" s="28"/>
    </row>
    <row r="36" customFormat="false" ht="18" hidden="false" customHeight="true" outlineLevel="0" collapsed="false">
      <c r="A36" s="25" t="s">
        <v>1033</v>
      </c>
      <c r="B36" s="25" t="s">
        <v>116</v>
      </c>
      <c r="C36" s="17" t="s">
        <v>1034</v>
      </c>
      <c r="D36" s="14" t="s">
        <v>126</v>
      </c>
      <c r="E36" s="26" t="s">
        <v>15</v>
      </c>
      <c r="F36" s="27"/>
      <c r="G36" s="27"/>
      <c r="H36" s="28"/>
    </row>
    <row r="37" customFormat="false" ht="18" hidden="false" customHeight="true" outlineLevel="0" collapsed="false">
      <c r="A37" s="25" t="s">
        <v>1035</v>
      </c>
      <c r="B37" s="25" t="s">
        <v>116</v>
      </c>
      <c r="C37" s="17" t="s">
        <v>1036</v>
      </c>
      <c r="D37" s="29" t="s">
        <v>164</v>
      </c>
      <c r="E37" s="26" t="s">
        <v>15</v>
      </c>
      <c r="F37" s="27"/>
      <c r="G37" s="27"/>
      <c r="H37" s="28"/>
    </row>
    <row r="38" customFormat="false" ht="18" hidden="false" customHeight="true" outlineLevel="0" collapsed="false">
      <c r="A38" s="25" t="s">
        <v>1037</v>
      </c>
      <c r="B38" s="25" t="s">
        <v>116</v>
      </c>
      <c r="C38" s="17" t="s">
        <v>1038</v>
      </c>
      <c r="D38" s="14" t="s">
        <v>126</v>
      </c>
      <c r="E38" s="26" t="s">
        <v>15</v>
      </c>
      <c r="F38" s="27"/>
      <c r="G38" s="27"/>
      <c r="H38" s="28"/>
    </row>
    <row r="39" customFormat="false" ht="30.75" hidden="false" customHeight="true" outlineLevel="0" collapsed="false">
      <c r="A39" s="25" t="s">
        <v>1039</v>
      </c>
      <c r="B39" s="25" t="s">
        <v>116</v>
      </c>
      <c r="C39" s="12" t="s">
        <v>1040</v>
      </c>
      <c r="D39" s="19" t="s">
        <v>179</v>
      </c>
      <c r="E39" s="26" t="s">
        <v>15</v>
      </c>
      <c r="F39" s="27"/>
      <c r="G39" s="27"/>
      <c r="H39" s="28"/>
    </row>
    <row r="40" customFormat="false" ht="21.75" hidden="false" customHeight="true" outlineLevel="0" collapsed="false">
      <c r="A40" s="23" t="s">
        <v>117</v>
      </c>
      <c r="B40" s="24"/>
      <c r="C40" s="24"/>
      <c r="D40" s="24"/>
      <c r="E40" s="24"/>
      <c r="F40" s="24"/>
      <c r="G40" s="24"/>
      <c r="H40" s="24"/>
    </row>
    <row r="41" customFormat="false" ht="30.75" hidden="false" customHeight="true" outlineLevel="0" collapsed="false">
      <c r="A41" s="25" t="s">
        <v>1041</v>
      </c>
      <c r="B41" s="25" t="s">
        <v>117</v>
      </c>
      <c r="C41" s="17" t="s">
        <v>1042</v>
      </c>
      <c r="D41" s="14" t="s">
        <v>126</v>
      </c>
      <c r="E41" s="26" t="s">
        <v>15</v>
      </c>
      <c r="F41" s="27"/>
      <c r="G41" s="27"/>
      <c r="H41" s="28"/>
    </row>
    <row r="42" customFormat="false" ht="18" hidden="false" customHeight="true" outlineLevel="0" collapsed="false">
      <c r="A42" s="25" t="s">
        <v>1043</v>
      </c>
      <c r="B42" s="25" t="s">
        <v>117</v>
      </c>
      <c r="C42" s="17" t="s">
        <v>1044</v>
      </c>
      <c r="D42" s="14" t="s">
        <v>126</v>
      </c>
      <c r="E42" s="26" t="s">
        <v>15</v>
      </c>
      <c r="F42" s="27"/>
      <c r="G42" s="27"/>
      <c r="H42" s="28"/>
    </row>
    <row r="43" customFormat="false" ht="18" hidden="false" customHeight="true" outlineLevel="0" collapsed="false">
      <c r="A43" s="25" t="s">
        <v>1045</v>
      </c>
      <c r="B43" s="25" t="s">
        <v>117</v>
      </c>
      <c r="C43" s="17" t="s">
        <v>1046</v>
      </c>
      <c r="D43" s="29" t="s">
        <v>164</v>
      </c>
      <c r="E43" s="26" t="s">
        <v>15</v>
      </c>
      <c r="F43" s="27"/>
      <c r="G43" s="27"/>
      <c r="H43" s="28"/>
    </row>
    <row r="44" customFormat="false" ht="18" hidden="false" customHeight="true" outlineLevel="0" collapsed="false">
      <c r="A44" s="25" t="s">
        <v>1047</v>
      </c>
      <c r="B44" s="25" t="s">
        <v>117</v>
      </c>
      <c r="C44" s="17" t="s">
        <v>1048</v>
      </c>
      <c r="D44" s="14" t="s">
        <v>126</v>
      </c>
      <c r="E44" s="26" t="s">
        <v>15</v>
      </c>
      <c r="F44" s="27"/>
      <c r="G44" s="27"/>
      <c r="H44" s="28"/>
    </row>
    <row r="45" customFormat="false" ht="18" hidden="false" customHeight="true" outlineLevel="0" collapsed="false">
      <c r="A45" s="25" t="s">
        <v>1049</v>
      </c>
      <c r="B45" s="25" t="s">
        <v>117</v>
      </c>
      <c r="C45" s="17" t="s">
        <v>1050</v>
      </c>
      <c r="D45" s="29" t="s">
        <v>164</v>
      </c>
      <c r="E45" s="26" t="s">
        <v>15</v>
      </c>
      <c r="F45" s="27"/>
      <c r="G45" s="27"/>
      <c r="H45" s="28"/>
    </row>
    <row r="46" customFormat="false" ht="30.75" hidden="false" customHeight="true" outlineLevel="0" collapsed="false">
      <c r="A46" s="25" t="s">
        <v>1051</v>
      </c>
      <c r="B46" s="25" t="s">
        <v>117</v>
      </c>
      <c r="C46" s="17" t="s">
        <v>1052</v>
      </c>
      <c r="D46" s="14" t="s">
        <v>126</v>
      </c>
      <c r="E46" s="26" t="s">
        <v>15</v>
      </c>
      <c r="F46" s="27"/>
      <c r="G46" s="27"/>
      <c r="H46" s="28"/>
    </row>
    <row r="47" customFormat="false" ht="30.75" hidden="false" customHeight="true" outlineLevel="0" collapsed="false">
      <c r="A47" s="25" t="s">
        <v>1053</v>
      </c>
      <c r="B47" s="25" t="s">
        <v>117</v>
      </c>
      <c r="C47" s="12" t="s">
        <v>1054</v>
      </c>
      <c r="D47" s="19" t="s">
        <v>179</v>
      </c>
      <c r="E47" s="26" t="s">
        <v>15</v>
      </c>
      <c r="F47" s="27"/>
      <c r="G47" s="27"/>
      <c r="H47" s="28"/>
    </row>
    <row r="48" customFormat="false" ht="21.75" hidden="false" customHeight="true" outlineLevel="0" collapsed="false">
      <c r="A48" s="23" t="s">
        <v>118</v>
      </c>
      <c r="B48" s="24"/>
      <c r="C48" s="24"/>
      <c r="D48" s="24"/>
      <c r="E48" s="24"/>
      <c r="F48" s="24"/>
      <c r="G48" s="24"/>
      <c r="H48" s="24"/>
    </row>
    <row r="49" customFormat="false" ht="30.75" hidden="false" customHeight="true" outlineLevel="0" collapsed="false">
      <c r="A49" s="25" t="s">
        <v>1055</v>
      </c>
      <c r="B49" s="25" t="s">
        <v>118</v>
      </c>
      <c r="C49" s="17" t="s">
        <v>1056</v>
      </c>
      <c r="D49" s="14" t="s">
        <v>126</v>
      </c>
      <c r="E49" s="26" t="s">
        <v>15</v>
      </c>
      <c r="F49" s="27"/>
      <c r="G49" s="27"/>
      <c r="H49" s="28"/>
    </row>
    <row r="50" customFormat="false" ht="30.75" hidden="false" customHeight="true" outlineLevel="0" collapsed="false">
      <c r="A50" s="25" t="s">
        <v>1057</v>
      </c>
      <c r="B50" s="25" t="s">
        <v>118</v>
      </c>
      <c r="C50" s="17" t="s">
        <v>1058</v>
      </c>
      <c r="D50" s="14" t="s">
        <v>126</v>
      </c>
      <c r="E50" s="26" t="s">
        <v>15</v>
      </c>
      <c r="F50" s="27"/>
      <c r="G50" s="27"/>
      <c r="H50" s="28"/>
    </row>
    <row r="51" customFormat="false" ht="30.75" hidden="false" customHeight="true" outlineLevel="0" collapsed="false">
      <c r="A51" s="25" t="s">
        <v>1059</v>
      </c>
      <c r="B51" s="25" t="s">
        <v>118</v>
      </c>
      <c r="C51" s="17" t="s">
        <v>1060</v>
      </c>
      <c r="D51" s="14" t="s">
        <v>126</v>
      </c>
      <c r="E51" s="26" t="s">
        <v>15</v>
      </c>
      <c r="F51" s="27"/>
      <c r="G51" s="27"/>
      <c r="H51" s="28"/>
    </row>
    <row r="52" customFormat="false" ht="30.75" hidden="false" customHeight="true" outlineLevel="0" collapsed="false">
      <c r="A52" s="25" t="s">
        <v>1061</v>
      </c>
      <c r="B52" s="25" t="s">
        <v>118</v>
      </c>
      <c r="C52" s="17" t="s">
        <v>1062</v>
      </c>
      <c r="D52" s="14" t="s">
        <v>126</v>
      </c>
      <c r="E52" s="26" t="s">
        <v>15</v>
      </c>
      <c r="F52" s="27"/>
      <c r="G52" s="27"/>
      <c r="H52" s="28"/>
    </row>
    <row r="53" customFormat="false" ht="30.75" hidden="false" customHeight="true" outlineLevel="0" collapsed="false">
      <c r="A53" s="25" t="s">
        <v>1063</v>
      </c>
      <c r="B53" s="25" t="s">
        <v>118</v>
      </c>
      <c r="C53" s="17" t="s">
        <v>1064</v>
      </c>
      <c r="D53" s="29" t="s">
        <v>164</v>
      </c>
      <c r="E53" s="26" t="s">
        <v>15</v>
      </c>
      <c r="F53" s="27"/>
      <c r="G53" s="27"/>
      <c r="H53" s="28"/>
    </row>
    <row r="54" customFormat="false" ht="18" hidden="false" customHeight="true" outlineLevel="0" collapsed="false">
      <c r="A54" s="25" t="s">
        <v>1065</v>
      </c>
      <c r="B54" s="25" t="s">
        <v>118</v>
      </c>
      <c r="C54" s="17" t="s">
        <v>1066</v>
      </c>
      <c r="D54" s="29" t="s">
        <v>164</v>
      </c>
      <c r="E54" s="26" t="s">
        <v>15</v>
      </c>
      <c r="F54" s="27"/>
      <c r="G54" s="27"/>
      <c r="H54" s="28"/>
    </row>
    <row r="55" customFormat="false" ht="30.75" hidden="false" customHeight="true" outlineLevel="0" collapsed="false">
      <c r="A55" s="25" t="s">
        <v>1067</v>
      </c>
      <c r="B55" s="25" t="s">
        <v>118</v>
      </c>
      <c r="C55" s="17" t="s">
        <v>1068</v>
      </c>
      <c r="D55" s="29" t="s">
        <v>164</v>
      </c>
      <c r="E55" s="26" t="s">
        <v>15</v>
      </c>
      <c r="F55" s="27"/>
      <c r="G55" s="27"/>
      <c r="H55" s="28"/>
    </row>
    <row r="56" customFormat="false" ht="18" hidden="false" customHeight="true" outlineLevel="0" collapsed="false">
      <c r="A56" s="25" t="s">
        <v>1069</v>
      </c>
      <c r="B56" s="25" t="s">
        <v>118</v>
      </c>
      <c r="C56" s="17" t="s">
        <v>1070</v>
      </c>
      <c r="D56" s="29" t="s">
        <v>164</v>
      </c>
      <c r="E56" s="26" t="s">
        <v>15</v>
      </c>
      <c r="F56" s="27"/>
      <c r="G56" s="27"/>
      <c r="H56" s="28"/>
    </row>
    <row r="57" customFormat="false" ht="18" hidden="false" customHeight="true" outlineLevel="0" collapsed="false">
      <c r="A57" s="25" t="s">
        <v>1071</v>
      </c>
      <c r="B57" s="25" t="s">
        <v>118</v>
      </c>
      <c r="C57" s="17" t="s">
        <v>1072</v>
      </c>
      <c r="D57" s="29" t="s">
        <v>164</v>
      </c>
      <c r="E57" s="26" t="s">
        <v>15</v>
      </c>
      <c r="F57" s="27"/>
      <c r="G57" s="27"/>
      <c r="H57" s="28"/>
    </row>
    <row r="58" customFormat="false" ht="30.75" hidden="false" customHeight="true" outlineLevel="0" collapsed="false">
      <c r="A58" s="25" t="s">
        <v>1073</v>
      </c>
      <c r="B58" s="25" t="s">
        <v>118</v>
      </c>
      <c r="C58" s="17" t="s">
        <v>1074</v>
      </c>
      <c r="D58" s="14" t="s">
        <v>126</v>
      </c>
      <c r="E58" s="26" t="s">
        <v>15</v>
      </c>
      <c r="F58" s="27"/>
      <c r="G58" s="27"/>
      <c r="H58" s="28"/>
    </row>
    <row r="59" customFormat="false" ht="30.75" hidden="false" customHeight="true" outlineLevel="0" collapsed="false">
      <c r="A59" s="25" t="s">
        <v>1075</v>
      </c>
      <c r="B59" s="25" t="s">
        <v>118</v>
      </c>
      <c r="C59" s="12" t="s">
        <v>1076</v>
      </c>
      <c r="D59" s="19" t="s">
        <v>179</v>
      </c>
      <c r="E59" s="26" t="s">
        <v>15</v>
      </c>
      <c r="F59" s="27"/>
      <c r="G59" s="27"/>
      <c r="H59" s="28"/>
    </row>
    <row r="60" customFormat="false" ht="21.75" hidden="false" customHeight="true" outlineLevel="0" collapsed="false">
      <c r="A60" s="23" t="s">
        <v>119</v>
      </c>
      <c r="B60" s="24"/>
      <c r="C60" s="24"/>
      <c r="D60" s="24"/>
      <c r="E60" s="24"/>
      <c r="F60" s="24"/>
      <c r="G60" s="24"/>
      <c r="H60" s="24"/>
    </row>
    <row r="61" customFormat="false" ht="18" hidden="false" customHeight="true" outlineLevel="0" collapsed="false">
      <c r="A61" s="25" t="s">
        <v>1077</v>
      </c>
      <c r="B61" s="25" t="s">
        <v>119</v>
      </c>
      <c r="C61" s="17" t="s">
        <v>1078</v>
      </c>
      <c r="D61" s="29" t="s">
        <v>164</v>
      </c>
      <c r="E61" s="26" t="s">
        <v>15</v>
      </c>
      <c r="F61" s="27"/>
      <c r="G61" s="27"/>
      <c r="H61" s="28"/>
    </row>
    <row r="62" customFormat="false" ht="30.75" hidden="false" customHeight="true" outlineLevel="0" collapsed="false">
      <c r="A62" s="25" t="s">
        <v>1079</v>
      </c>
      <c r="B62" s="25" t="s">
        <v>119</v>
      </c>
      <c r="C62" s="17" t="s">
        <v>1080</v>
      </c>
      <c r="D62" s="14" t="s">
        <v>126</v>
      </c>
      <c r="E62" s="26" t="s">
        <v>15</v>
      </c>
      <c r="F62" s="27"/>
      <c r="G62" s="27"/>
      <c r="H62" s="28"/>
    </row>
    <row r="63" customFormat="false" ht="30.75" hidden="false" customHeight="true" outlineLevel="0" collapsed="false">
      <c r="A63" s="25" t="s">
        <v>1081</v>
      </c>
      <c r="B63" s="25" t="s">
        <v>119</v>
      </c>
      <c r="C63" s="17" t="s">
        <v>1082</v>
      </c>
      <c r="D63" s="14" t="s">
        <v>126</v>
      </c>
      <c r="E63" s="26" t="s">
        <v>15</v>
      </c>
      <c r="F63" s="27"/>
      <c r="G63" s="27"/>
      <c r="H63" s="28"/>
    </row>
    <row r="64" customFormat="false" ht="18" hidden="false" customHeight="true" outlineLevel="0" collapsed="false">
      <c r="A64" s="25" t="s">
        <v>1083</v>
      </c>
      <c r="B64" s="25" t="s">
        <v>119</v>
      </c>
      <c r="C64" s="17" t="s">
        <v>1084</v>
      </c>
      <c r="D64" s="29" t="s">
        <v>164</v>
      </c>
      <c r="E64" s="26" t="s">
        <v>15</v>
      </c>
      <c r="F64" s="27"/>
      <c r="G64" s="27"/>
      <c r="H64" s="28"/>
    </row>
    <row r="65" customFormat="false" ht="18" hidden="false" customHeight="true" outlineLevel="0" collapsed="false">
      <c r="A65" s="25" t="s">
        <v>1085</v>
      </c>
      <c r="B65" s="25" t="s">
        <v>119</v>
      </c>
      <c r="C65" s="17" t="s">
        <v>1086</v>
      </c>
      <c r="D65" s="14" t="s">
        <v>126</v>
      </c>
      <c r="E65" s="26" t="s">
        <v>15</v>
      </c>
      <c r="F65" s="27"/>
      <c r="G65" s="27"/>
      <c r="H65" s="28"/>
    </row>
    <row r="66" customFormat="false" ht="18" hidden="false" customHeight="true" outlineLevel="0" collapsed="false">
      <c r="A66" s="25" t="s">
        <v>1087</v>
      </c>
      <c r="B66" s="25" t="s">
        <v>119</v>
      </c>
      <c r="C66" s="17" t="s">
        <v>1088</v>
      </c>
      <c r="D66" s="14" t="s">
        <v>126</v>
      </c>
      <c r="E66" s="26" t="s">
        <v>15</v>
      </c>
      <c r="F66" s="27"/>
      <c r="G66" s="27"/>
      <c r="H66" s="28"/>
    </row>
    <row r="67" customFormat="false" ht="18" hidden="false" customHeight="true" outlineLevel="0" collapsed="false">
      <c r="A67" s="25" t="s">
        <v>1089</v>
      </c>
      <c r="B67" s="25" t="s">
        <v>119</v>
      </c>
      <c r="C67" s="12" t="s">
        <v>1090</v>
      </c>
      <c r="D67" s="19" t="s">
        <v>179</v>
      </c>
      <c r="E67" s="26" t="s">
        <v>15</v>
      </c>
      <c r="F67" s="27"/>
      <c r="G67" s="27"/>
      <c r="H67" s="28"/>
    </row>
    <row r="68" customFormat="false" ht="21.75" hidden="false" customHeight="true" outlineLevel="0" collapsed="false">
      <c r="A68" s="23" t="s">
        <v>120</v>
      </c>
      <c r="B68" s="24"/>
      <c r="C68" s="24"/>
      <c r="D68" s="24"/>
      <c r="E68" s="24"/>
      <c r="F68" s="24"/>
      <c r="G68" s="24"/>
      <c r="H68" s="24"/>
    </row>
    <row r="69" customFormat="false" ht="30.75" hidden="false" customHeight="true" outlineLevel="0" collapsed="false">
      <c r="A69" s="25" t="s">
        <v>1091</v>
      </c>
      <c r="B69" s="25" t="s">
        <v>120</v>
      </c>
      <c r="C69" s="17" t="s">
        <v>1092</v>
      </c>
      <c r="D69" s="14" t="s">
        <v>126</v>
      </c>
      <c r="E69" s="26" t="s">
        <v>15</v>
      </c>
      <c r="F69" s="27"/>
      <c r="G69" s="27"/>
      <c r="H69" s="28"/>
    </row>
    <row r="70" customFormat="false" ht="30.75" hidden="false" customHeight="true" outlineLevel="0" collapsed="false">
      <c r="A70" s="25" t="s">
        <v>1093</v>
      </c>
      <c r="B70" s="25" t="s">
        <v>120</v>
      </c>
      <c r="C70" s="17" t="s">
        <v>1094</v>
      </c>
      <c r="D70" s="29" t="s">
        <v>164</v>
      </c>
      <c r="E70" s="26" t="s">
        <v>15</v>
      </c>
      <c r="F70" s="27"/>
      <c r="G70" s="27"/>
      <c r="H70" s="28"/>
    </row>
    <row r="71" customFormat="false" ht="30.75" hidden="false" customHeight="true" outlineLevel="0" collapsed="false">
      <c r="A71" s="25" t="s">
        <v>1095</v>
      </c>
      <c r="B71" s="25" t="s">
        <v>120</v>
      </c>
      <c r="C71" s="17" t="s">
        <v>1096</v>
      </c>
      <c r="D71" s="29" t="s">
        <v>164</v>
      </c>
      <c r="E71" s="26" t="s">
        <v>15</v>
      </c>
      <c r="F71" s="27"/>
      <c r="G71" s="27"/>
      <c r="H71" s="28"/>
    </row>
    <row r="72" customFormat="false" ht="18" hidden="false" customHeight="true" outlineLevel="0" collapsed="false">
      <c r="A72" s="25" t="s">
        <v>1097</v>
      </c>
      <c r="B72" s="25" t="s">
        <v>120</v>
      </c>
      <c r="C72" s="17" t="s">
        <v>1098</v>
      </c>
      <c r="D72" s="14" t="s">
        <v>126</v>
      </c>
      <c r="E72" s="26" t="s">
        <v>15</v>
      </c>
      <c r="F72" s="27"/>
      <c r="G72" s="27"/>
      <c r="H72" s="28"/>
    </row>
    <row r="73" customFormat="false" ht="30.75" hidden="false" customHeight="true" outlineLevel="0" collapsed="false">
      <c r="A73" s="25" t="s">
        <v>1099</v>
      </c>
      <c r="B73" s="25" t="s">
        <v>120</v>
      </c>
      <c r="C73" s="17" t="s">
        <v>1100</v>
      </c>
      <c r="D73" s="14" t="s">
        <v>126</v>
      </c>
      <c r="E73" s="26" t="s">
        <v>15</v>
      </c>
      <c r="F73" s="27"/>
      <c r="G73" s="27"/>
      <c r="H73" s="28"/>
    </row>
    <row r="74" customFormat="false" ht="18" hidden="false" customHeight="true" outlineLevel="0" collapsed="false">
      <c r="A74" s="25" t="s">
        <v>1101</v>
      </c>
      <c r="B74" s="25" t="s">
        <v>120</v>
      </c>
      <c r="C74" s="12" t="s">
        <v>1102</v>
      </c>
      <c r="D74" s="19" t="s">
        <v>179</v>
      </c>
      <c r="E74" s="26" t="s">
        <v>15</v>
      </c>
      <c r="F74" s="27"/>
      <c r="G74" s="27"/>
      <c r="H74" s="28"/>
    </row>
    <row r="75" customFormat="false" ht="21.75" hidden="false" customHeight="true" outlineLevel="0" collapsed="false">
      <c r="A75" s="23" t="s">
        <v>121</v>
      </c>
      <c r="B75" s="24"/>
      <c r="C75" s="24"/>
      <c r="D75" s="24"/>
      <c r="E75" s="24"/>
      <c r="F75" s="24"/>
      <c r="G75" s="24"/>
      <c r="H75" s="24"/>
    </row>
    <row r="76" customFormat="false" ht="18" hidden="false" customHeight="true" outlineLevel="0" collapsed="false">
      <c r="A76" s="25" t="s">
        <v>1103</v>
      </c>
      <c r="B76" s="25" t="s">
        <v>121</v>
      </c>
      <c r="C76" s="17" t="s">
        <v>1104</v>
      </c>
      <c r="D76" s="29" t="s">
        <v>164</v>
      </c>
      <c r="E76" s="26" t="s">
        <v>15</v>
      </c>
      <c r="F76" s="27"/>
      <c r="G76" s="27"/>
      <c r="H76" s="28"/>
    </row>
    <row r="77" customFormat="false" ht="18" hidden="false" customHeight="true" outlineLevel="0" collapsed="false">
      <c r="A77" s="25" t="s">
        <v>1105</v>
      </c>
      <c r="B77" s="25" t="s">
        <v>121</v>
      </c>
      <c r="C77" s="17" t="s">
        <v>1106</v>
      </c>
      <c r="D77" s="29" t="s">
        <v>164</v>
      </c>
      <c r="E77" s="26" t="s">
        <v>15</v>
      </c>
      <c r="F77" s="27"/>
      <c r="G77" s="27"/>
      <c r="H77" s="28"/>
    </row>
    <row r="78" customFormat="false" ht="18" hidden="false" customHeight="true" outlineLevel="0" collapsed="false">
      <c r="A78" s="25" t="s">
        <v>1107</v>
      </c>
      <c r="B78" s="25" t="s">
        <v>121</v>
      </c>
      <c r="C78" s="17" t="s">
        <v>1108</v>
      </c>
      <c r="D78" s="29" t="s">
        <v>164</v>
      </c>
      <c r="E78" s="26" t="s">
        <v>15</v>
      </c>
      <c r="F78" s="27"/>
      <c r="G78" s="27"/>
      <c r="H78" s="28"/>
    </row>
    <row r="79" customFormat="false" ht="18" hidden="false" customHeight="true" outlineLevel="0" collapsed="false">
      <c r="A79" s="25" t="s">
        <v>1109</v>
      </c>
      <c r="B79" s="25" t="s">
        <v>121</v>
      </c>
      <c r="C79" s="17" t="s">
        <v>1110</v>
      </c>
      <c r="D79" s="29" t="s">
        <v>164</v>
      </c>
      <c r="E79" s="26" t="s">
        <v>15</v>
      </c>
      <c r="F79" s="27"/>
      <c r="G79" s="27"/>
      <c r="H79" s="28"/>
    </row>
    <row r="80" customFormat="false" ht="18" hidden="false" customHeight="true" outlineLevel="0" collapsed="false">
      <c r="A80" s="25" t="s">
        <v>1111</v>
      </c>
      <c r="B80" s="25" t="s">
        <v>121</v>
      </c>
      <c r="C80" s="17" t="s">
        <v>1112</v>
      </c>
      <c r="D80" s="29" t="s">
        <v>164</v>
      </c>
      <c r="E80" s="26" t="s">
        <v>15</v>
      </c>
      <c r="F80" s="27"/>
      <c r="G80" s="27"/>
      <c r="H80" s="28"/>
    </row>
    <row r="81" customFormat="false" ht="18" hidden="false" customHeight="true" outlineLevel="0" collapsed="false">
      <c r="A81" s="25" t="s">
        <v>1113</v>
      </c>
      <c r="B81" s="25" t="s">
        <v>121</v>
      </c>
      <c r="C81" s="17" t="s">
        <v>1114</v>
      </c>
      <c r="D81" s="29" t="s">
        <v>164</v>
      </c>
      <c r="E81" s="26" t="s">
        <v>15</v>
      </c>
      <c r="F81" s="27"/>
      <c r="G81" s="27"/>
      <c r="H81" s="28"/>
    </row>
    <row r="82" customFormat="false" ht="18" hidden="false" customHeight="true" outlineLevel="0" collapsed="false">
      <c r="A82" s="25" t="s">
        <v>1115</v>
      </c>
      <c r="B82" s="25" t="s">
        <v>121</v>
      </c>
      <c r="C82" s="17" t="s">
        <v>1116</v>
      </c>
      <c r="D82" s="29" t="s">
        <v>164</v>
      </c>
      <c r="E82" s="26" t="s">
        <v>15</v>
      </c>
      <c r="F82" s="27"/>
      <c r="G82" s="27"/>
      <c r="H82" s="28"/>
    </row>
    <row r="83" customFormat="false" ht="18" hidden="false" customHeight="true" outlineLevel="0" collapsed="false">
      <c r="A83" s="25" t="s">
        <v>1117</v>
      </c>
      <c r="B83" s="25" t="s">
        <v>121</v>
      </c>
      <c r="C83" s="12" t="s">
        <v>1118</v>
      </c>
      <c r="D83" s="19" t="s">
        <v>179</v>
      </c>
      <c r="E83" s="26" t="s">
        <v>15</v>
      </c>
      <c r="F83" s="27"/>
      <c r="G83" s="27"/>
      <c r="H83" s="28"/>
    </row>
    <row r="84" customFormat="false" ht="21.75" hidden="false" customHeight="true" outlineLevel="0" collapsed="false">
      <c r="A84" s="23" t="s">
        <v>122</v>
      </c>
      <c r="B84" s="24"/>
      <c r="C84" s="24"/>
      <c r="D84" s="24"/>
      <c r="E84" s="24"/>
      <c r="F84" s="24"/>
      <c r="G84" s="24"/>
      <c r="H84" s="24"/>
    </row>
    <row r="85" customFormat="false" ht="30.75" hidden="false" customHeight="true" outlineLevel="0" collapsed="false">
      <c r="A85" s="25" t="s">
        <v>1119</v>
      </c>
      <c r="B85" s="25" t="s">
        <v>122</v>
      </c>
      <c r="C85" s="17" t="s">
        <v>1120</v>
      </c>
      <c r="D85" s="14" t="s">
        <v>126</v>
      </c>
      <c r="E85" s="26" t="s">
        <v>15</v>
      </c>
      <c r="F85" s="27"/>
      <c r="G85" s="27"/>
      <c r="H85" s="28"/>
    </row>
    <row r="86" customFormat="false" ht="18" hidden="false" customHeight="true" outlineLevel="0" collapsed="false">
      <c r="A86" s="25" t="s">
        <v>1121</v>
      </c>
      <c r="B86" s="25" t="s">
        <v>122</v>
      </c>
      <c r="C86" s="17" t="s">
        <v>1122</v>
      </c>
      <c r="D86" s="14" t="s">
        <v>126</v>
      </c>
      <c r="E86" s="26" t="s">
        <v>15</v>
      </c>
      <c r="F86" s="27"/>
      <c r="G86" s="27"/>
      <c r="H86" s="28"/>
    </row>
    <row r="87" customFormat="false" ht="18" hidden="false" customHeight="true" outlineLevel="0" collapsed="false">
      <c r="A87" s="25" t="s">
        <v>1123</v>
      </c>
      <c r="B87" s="25" t="s">
        <v>122</v>
      </c>
      <c r="C87" s="17" t="s">
        <v>1124</v>
      </c>
      <c r="D87" s="29" t="s">
        <v>164</v>
      </c>
      <c r="E87" s="26" t="s">
        <v>15</v>
      </c>
      <c r="F87" s="27"/>
      <c r="G87" s="27"/>
      <c r="H87" s="28"/>
    </row>
    <row r="88" customFormat="false" ht="30.75" hidden="false" customHeight="true" outlineLevel="0" collapsed="false">
      <c r="A88" s="25" t="s">
        <v>1125</v>
      </c>
      <c r="B88" s="25" t="s">
        <v>122</v>
      </c>
      <c r="C88" s="17" t="s">
        <v>1126</v>
      </c>
      <c r="D88" s="14" t="s">
        <v>126</v>
      </c>
      <c r="E88" s="26" t="s">
        <v>15</v>
      </c>
      <c r="F88" s="27"/>
      <c r="G88" s="27"/>
      <c r="H88" s="28"/>
    </row>
    <row r="89" customFormat="false" ht="18" hidden="false" customHeight="true" outlineLevel="0" collapsed="false">
      <c r="A89" s="25" t="s">
        <v>1127</v>
      </c>
      <c r="B89" s="25" t="s">
        <v>122</v>
      </c>
      <c r="C89" s="17" t="s">
        <v>1128</v>
      </c>
      <c r="D89" s="14" t="s">
        <v>126</v>
      </c>
      <c r="E89" s="26" t="s">
        <v>15</v>
      </c>
      <c r="F89" s="27"/>
      <c r="G89" s="27"/>
      <c r="H89" s="28"/>
    </row>
    <row r="90" customFormat="false" ht="18" hidden="false" customHeight="true" outlineLevel="0" collapsed="false">
      <c r="A90" s="25" t="s">
        <v>1129</v>
      </c>
      <c r="B90" s="25" t="s">
        <v>122</v>
      </c>
      <c r="C90" s="12" t="s">
        <v>1130</v>
      </c>
      <c r="D90" s="19" t="s">
        <v>179</v>
      </c>
      <c r="E90" s="26" t="s">
        <v>15</v>
      </c>
      <c r="F90" s="27"/>
      <c r="G90" s="27"/>
      <c r="H90" s="28"/>
    </row>
    <row r="91" customFormat="false" ht="21.75" hidden="false" customHeight="true" outlineLevel="0" collapsed="false">
      <c r="A91" s="23" t="s">
        <v>98</v>
      </c>
      <c r="B91" s="24"/>
      <c r="C91" s="24"/>
      <c r="D91" s="24"/>
      <c r="E91" s="24"/>
      <c r="F91" s="24"/>
      <c r="G91" s="24"/>
      <c r="H91" s="24"/>
    </row>
    <row r="92" customFormat="false" ht="30.75" hidden="false" customHeight="true" outlineLevel="0" collapsed="false">
      <c r="A92" s="25" t="s">
        <v>1131</v>
      </c>
      <c r="B92" s="25" t="s">
        <v>98</v>
      </c>
      <c r="C92" s="17" t="s">
        <v>1132</v>
      </c>
      <c r="D92" s="14" t="s">
        <v>126</v>
      </c>
      <c r="E92" s="26" t="s">
        <v>15</v>
      </c>
      <c r="F92" s="27"/>
      <c r="G92" s="27"/>
      <c r="H92" s="28"/>
    </row>
    <row r="93" customFormat="false" ht="30.75" hidden="false" customHeight="true" outlineLevel="0" collapsed="false">
      <c r="A93" s="25" t="s">
        <v>1133</v>
      </c>
      <c r="B93" s="25" t="s">
        <v>98</v>
      </c>
      <c r="C93" s="12" t="s">
        <v>1134</v>
      </c>
      <c r="D93" s="19" t="s">
        <v>179</v>
      </c>
      <c r="E93" s="26" t="s">
        <v>15</v>
      </c>
      <c r="F93" s="27"/>
      <c r="G93" s="27"/>
      <c r="H93" s="28"/>
    </row>
  </sheetData>
  <autoFilter ref="A5:H93"/>
  <conditionalFormatting sqref="B3">
    <cfRule type="dataBar" priority="2">
      <dataBar showValue="1" minLength="10" maxLength="90">
        <cfvo type="num" val="0"/>
        <cfvo type="num" val="1"/>
        <color rgb="FF70AD47"/>
      </dataBar>
      <extLst>
        <ext xmlns:x14="http://schemas.microsoft.com/office/spreadsheetml/2009/9/main" uri="{B025F937-C7B1-47D3-B67F-A62EFF666E3E}">
          <x14:id>{80CE986E-A073-4A99-8F6D-B57FC593CAC1}</x14:id>
        </ext>
      </extLst>
    </cfRule>
  </conditionalFormatting>
  <conditionalFormatting sqref="E6:E93">
    <cfRule type="cellIs" priority="3" operator="equal" aboveAverage="0" equalAverage="0" bottom="0" percent="0" rank="0" text="" dxfId="9">
      <formula>"Done"</formula>
    </cfRule>
    <cfRule type="cellIs" priority="4" operator="equal" aboveAverage="0" equalAverage="0" bottom="0" percent="0" rank="0" text="" dxfId="10">
      <formula>"In progress"</formula>
    </cfRule>
    <cfRule type="cellIs" priority="5" operator="equal" aboveAverage="0" equalAverage="0" bottom="0" percent="0" rank="0" text="" dxfId="0">
      <formula>"Blocked"</formula>
    </cfRule>
    <cfRule type="cellIs" priority="6" operator="equal" aboveAverage="0" equalAverage="0" bottom="0" percent="0" rank="0" text="" dxfId="11">
      <formula>"Skipped"</formula>
    </cfRule>
  </conditionalFormatting>
  <conditionalFormatting sqref="C6:C93">
    <cfRule type="expression" priority="7" aboveAverage="0" equalAverage="0" bottom="0" percent="0" rank="0" text="" dxfId="12">
      <formula>$E6="Done"</formula>
    </cfRule>
  </conditionalFormatting>
  <dataValidations count="1">
    <dataValidation allowBlank="true" error="Pick a value from the dropdown list." errorStyle="stop" errorTitle="Invalid value" operator="between" showDropDown="false" showErrorMessage="true" showInputMessage="false" sqref="E7:E14 E16:E24 E26:E31 E33:E39 E41:E47 E49:E59 E61:E67 E69:E74 E76:E83 E85:E90 E92:E93" type="list">
      <formula1>"Not started,In progress,Blocked,Done,Skipped"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0CE986E-A073-4A99-8F6D-B57FC593CAC1}">
            <x14:dataBar minLength="10" maxLength="90" axisPosition="none" gradient="true">
              <x14:cfvo type="num">
                <xm:f>0</xm:f>
              </x14:cfvo>
              <x14:cfvo type="num">
                <xm:f>1</xm:f>
              </x14:cfvo>
              <x14:negativeFillColor rgb="FF70AD47"/>
              <x14:axisColor rgb="FF000000"/>
            </x14:dataBar>
          </x14:cfRule>
          <xm:sqref>B3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6"/>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36"/>
    <col collapsed="false" customWidth="true" hidden="false" outlineLevel="0" max="7" min="7" style="0" width="28"/>
  </cols>
  <sheetData>
    <row r="1" customFormat="false" ht="25.5" hidden="false" customHeight="true" outlineLevel="0" collapsed="false">
      <c r="A1" s="1" t="s">
        <v>1135</v>
      </c>
    </row>
    <row r="2" customFormat="false" ht="15" hidden="false" customHeight="false" outlineLevel="0" collapsed="false">
      <c r="A2" s="2" t="s">
        <v>1136</v>
      </c>
    </row>
    <row r="4" customFormat="false" ht="30" hidden="false" customHeight="true" outlineLevel="0" collapsed="false">
      <c r="A4" s="6" t="s">
        <v>1137</v>
      </c>
      <c r="B4" s="6" t="s">
        <v>1138</v>
      </c>
      <c r="C4" s="6" t="s">
        <v>1139</v>
      </c>
      <c r="D4" s="6" t="s">
        <v>1140</v>
      </c>
      <c r="E4" s="6" t="s">
        <v>1141</v>
      </c>
      <c r="F4" s="6" t="s">
        <v>1142</v>
      </c>
    </row>
    <row r="5" customFormat="false" ht="21.75" hidden="false" customHeight="true" outlineLevel="0" collapsed="false">
      <c r="A5" s="12" t="s">
        <v>1143</v>
      </c>
      <c r="B5" s="8" t="s">
        <v>1144</v>
      </c>
      <c r="C5" s="28"/>
      <c r="D5" s="30"/>
      <c r="E5" s="28"/>
      <c r="F5" s="28"/>
    </row>
    <row r="6" customFormat="false" ht="21.75" hidden="false" customHeight="true" outlineLevel="0" collapsed="false">
      <c r="A6" s="12" t="s">
        <v>1145</v>
      </c>
      <c r="B6" s="8" t="s">
        <v>1146</v>
      </c>
      <c r="C6" s="28"/>
      <c r="D6" s="30"/>
      <c r="E6" s="28"/>
      <c r="F6" s="28"/>
    </row>
    <row r="7" customFormat="false" ht="21.75" hidden="false" customHeight="true" outlineLevel="0" collapsed="false">
      <c r="A7" s="12" t="s">
        <v>1147</v>
      </c>
      <c r="B7" s="8" t="s">
        <v>1148</v>
      </c>
      <c r="C7" s="28"/>
      <c r="D7" s="30"/>
      <c r="E7" s="28"/>
      <c r="F7" s="28"/>
    </row>
    <row r="8" customFormat="false" ht="21.75" hidden="false" customHeight="true" outlineLevel="0" collapsed="false">
      <c r="A8" s="12" t="s">
        <v>1149</v>
      </c>
      <c r="B8" s="8" t="s">
        <v>1150</v>
      </c>
      <c r="C8" s="28"/>
      <c r="D8" s="30"/>
      <c r="E8" s="28"/>
      <c r="F8" s="28"/>
    </row>
    <row r="9" customFormat="false" ht="21.75" hidden="false" customHeight="true" outlineLevel="0" collapsed="false">
      <c r="A9" s="12" t="s">
        <v>1151</v>
      </c>
      <c r="B9" s="8" t="s">
        <v>1152</v>
      </c>
      <c r="C9" s="28"/>
      <c r="D9" s="30"/>
      <c r="E9" s="28"/>
      <c r="F9" s="28"/>
    </row>
    <row r="10" customFormat="false" ht="30.75" hidden="false" customHeight="true" outlineLevel="0" collapsed="false">
      <c r="A10" s="12" t="s">
        <v>1153</v>
      </c>
      <c r="B10" s="8" t="s">
        <v>1154</v>
      </c>
      <c r="C10" s="28"/>
      <c r="D10" s="30"/>
      <c r="E10" s="28"/>
      <c r="F10" s="28"/>
    </row>
    <row r="11" customFormat="false" ht="21.75" hidden="false" customHeight="true" outlineLevel="0" collapsed="false">
      <c r="A11" s="12" t="s">
        <v>1155</v>
      </c>
      <c r="B11" s="8"/>
      <c r="C11" s="28"/>
      <c r="D11" s="30"/>
      <c r="E11" s="28"/>
      <c r="F11" s="28"/>
    </row>
    <row r="12" customFormat="false" ht="21.75" hidden="false" customHeight="true" outlineLevel="0" collapsed="false">
      <c r="A12" s="12" t="s">
        <v>1156</v>
      </c>
      <c r="B12" s="8"/>
      <c r="C12" s="28"/>
      <c r="D12" s="30"/>
      <c r="E12" s="28"/>
      <c r="F12" s="28"/>
    </row>
    <row r="13" customFormat="false" ht="21.75" hidden="false" customHeight="true" outlineLevel="0" collapsed="false">
      <c r="A13" s="12" t="s">
        <v>1157</v>
      </c>
      <c r="B13" s="8" t="s">
        <v>1158</v>
      </c>
      <c r="C13" s="28"/>
      <c r="D13" s="30"/>
      <c r="E13" s="28"/>
      <c r="F13" s="28"/>
    </row>
    <row r="14" customFormat="false" ht="21.75" hidden="false" customHeight="true" outlineLevel="0" collapsed="false">
      <c r="A14" s="12" t="s">
        <v>1159</v>
      </c>
      <c r="B14" s="8" t="s">
        <v>1160</v>
      </c>
      <c r="C14" s="28"/>
      <c r="D14" s="30"/>
      <c r="E14" s="28"/>
      <c r="F14" s="28"/>
    </row>
    <row r="15" customFormat="false" ht="21.75" hidden="false" customHeight="true" outlineLevel="0" collapsed="false">
      <c r="A15" s="12" t="s">
        <v>1161</v>
      </c>
      <c r="B15" s="8"/>
      <c r="C15" s="28"/>
      <c r="D15" s="30"/>
      <c r="E15" s="28"/>
      <c r="F15" s="28"/>
    </row>
    <row r="16" customFormat="false" ht="21.75" hidden="false" customHeight="true" outlineLevel="0" collapsed="false">
      <c r="A16" s="12" t="s">
        <v>1162</v>
      </c>
      <c r="B16" s="8" t="s">
        <v>1163</v>
      </c>
      <c r="C16" s="28"/>
      <c r="D16" s="30"/>
      <c r="E16" s="28"/>
      <c r="F16" s="28"/>
    </row>
    <row r="17" customFormat="false" ht="21.75" hidden="false" customHeight="true" outlineLevel="0" collapsed="false">
      <c r="A17" s="12" t="s">
        <v>1164</v>
      </c>
      <c r="B17" s="8" t="s">
        <v>1165</v>
      </c>
      <c r="C17" s="28"/>
      <c r="D17" s="30"/>
      <c r="E17" s="28"/>
      <c r="F17" s="28"/>
    </row>
    <row r="18" customFormat="false" ht="21.75" hidden="false" customHeight="true" outlineLevel="0" collapsed="false">
      <c r="A18" s="12" t="s">
        <v>1166</v>
      </c>
      <c r="B18" s="8" t="s">
        <v>1167</v>
      </c>
      <c r="C18" s="28"/>
      <c r="D18" s="30"/>
      <c r="E18" s="28"/>
      <c r="F18" s="28"/>
    </row>
    <row r="19" customFormat="false" ht="21.75" hidden="false" customHeight="true" outlineLevel="0" collapsed="false">
      <c r="A19" s="12" t="s">
        <v>1168</v>
      </c>
      <c r="B19" s="8" t="s">
        <v>1169</v>
      </c>
      <c r="C19" s="28"/>
      <c r="D19" s="30"/>
      <c r="E19" s="28"/>
      <c r="F19" s="28"/>
    </row>
    <row r="20" customFormat="false" ht="21.75" hidden="false" customHeight="true" outlineLevel="0" collapsed="false">
      <c r="A20" s="12" t="s">
        <v>1170</v>
      </c>
      <c r="B20" s="8" t="s">
        <v>1171</v>
      </c>
      <c r="C20" s="28"/>
      <c r="D20" s="30"/>
      <c r="E20" s="28"/>
      <c r="F20" s="28"/>
    </row>
    <row r="21" customFormat="false" ht="21.75" hidden="false" customHeight="true" outlineLevel="0" collapsed="false">
      <c r="A21" s="12" t="s">
        <v>1172</v>
      </c>
      <c r="B21" s="8" t="s">
        <v>1173</v>
      </c>
      <c r="C21" s="28"/>
      <c r="D21" s="30"/>
      <c r="E21" s="28"/>
      <c r="F21" s="28"/>
    </row>
    <row r="22" customFormat="false" ht="21.75" hidden="false" customHeight="true" outlineLevel="0" collapsed="false">
      <c r="A22" s="12" t="s">
        <v>1174</v>
      </c>
      <c r="B22" s="8" t="s">
        <v>1175</v>
      </c>
      <c r="C22" s="28"/>
      <c r="D22" s="30"/>
      <c r="E22" s="28"/>
      <c r="F22" s="28"/>
    </row>
    <row r="23" customFormat="false" ht="30.75" hidden="false" customHeight="true" outlineLevel="0" collapsed="false">
      <c r="A23" s="12" t="s">
        <v>1176</v>
      </c>
      <c r="B23" s="8" t="s">
        <v>1177</v>
      </c>
      <c r="C23" s="28"/>
      <c r="D23" s="30"/>
      <c r="E23" s="28"/>
      <c r="F23" s="28"/>
    </row>
    <row r="25" customFormat="false" ht="15" hidden="false" customHeight="false" outlineLevel="0" collapsed="false">
      <c r="A25" s="31" t="s">
        <v>1178</v>
      </c>
    </row>
    <row r="26" customFormat="false" ht="30" hidden="false" customHeight="true" outlineLevel="0" collapsed="false">
      <c r="A26" s="6" t="s">
        <v>1179</v>
      </c>
      <c r="B26" s="6" t="s">
        <v>1180</v>
      </c>
      <c r="C26" s="6" t="s">
        <v>1181</v>
      </c>
      <c r="D26" s="6" t="s">
        <v>1182</v>
      </c>
      <c r="E26" s="6" t="s">
        <v>1183</v>
      </c>
      <c r="F26" s="6" t="s">
        <v>1184</v>
      </c>
      <c r="G26" s="6" t="s">
        <v>1142</v>
      </c>
    </row>
    <row r="27" customFormat="false" ht="23.85" hidden="false" customHeight="false" outlineLevel="0" collapsed="false">
      <c r="A27" s="32" t="s">
        <v>1185</v>
      </c>
      <c r="B27" s="33" t="n">
        <v>3421083</v>
      </c>
      <c r="C27" s="33" t="n">
        <v>33819106</v>
      </c>
      <c r="D27" s="34" t="n">
        <f aca="false">IFERROR(C27/B27,"")</f>
        <v>9.88549707797209</v>
      </c>
      <c r="E27" s="32" t="s">
        <v>1186</v>
      </c>
      <c r="F27" s="32" t="s">
        <v>1187</v>
      </c>
      <c r="G27" s="32" t="s">
        <v>1188</v>
      </c>
    </row>
    <row r="28" customFormat="false" ht="27.75" hidden="false" customHeight="true" outlineLevel="0" collapsed="false">
      <c r="A28" s="12" t="s">
        <v>1189</v>
      </c>
      <c r="B28" s="35"/>
      <c r="C28" s="35"/>
      <c r="D28" s="36" t="str">
        <f aca="false">IFERROR(C28/B28,"")</f>
        <v/>
      </c>
      <c r="E28" s="30"/>
      <c r="F28" s="28"/>
      <c r="G28" s="25" t="s">
        <v>1190</v>
      </c>
    </row>
    <row r="29" customFormat="false" ht="27.75" hidden="false" customHeight="true" outlineLevel="0" collapsed="false">
      <c r="A29" s="12" t="s">
        <v>1191</v>
      </c>
      <c r="B29" s="35"/>
      <c r="C29" s="35"/>
      <c r="D29" s="36" t="str">
        <f aca="false">IFERROR(C29/B29,"")</f>
        <v/>
      </c>
      <c r="E29" s="30"/>
      <c r="F29" s="28"/>
      <c r="G29" s="25" t="s">
        <v>1192</v>
      </c>
    </row>
    <row r="30" customFormat="false" ht="27.75" hidden="false" customHeight="true" outlineLevel="0" collapsed="false">
      <c r="A30" s="12" t="s">
        <v>1193</v>
      </c>
      <c r="B30" s="35"/>
      <c r="C30" s="35"/>
      <c r="D30" s="36" t="str">
        <f aca="false">IFERROR(C30/B30,"")</f>
        <v/>
      </c>
      <c r="E30" s="30"/>
      <c r="F30" s="28"/>
      <c r="G30" s="25" t="s">
        <v>1194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M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6" min="6" style="0" width="30"/>
    <col collapsed="false" customWidth="true" hidden="false" outlineLevel="0" max="7" min="7" style="0" width="24"/>
    <col collapsed="false" customWidth="true" hidden="false" outlineLevel="0" max="10" min="8" style="0" width="30"/>
    <col collapsed="false" customWidth="true" hidden="false" outlineLevel="0" max="11" min="11" style="0" width="34"/>
    <col collapsed="false" customWidth="true" hidden="false" outlineLevel="0" max="12" min="12" style="0" width="24"/>
    <col collapsed="false" customWidth="true" hidden="false" outlineLevel="0" max="13" min="13" style="0" width="14"/>
  </cols>
  <sheetData>
    <row r="1" customFormat="false" ht="25.5" hidden="false" customHeight="true" outlineLevel="0" collapsed="false">
      <c r="A1" s="1" t="s">
        <v>1195</v>
      </c>
    </row>
    <row r="2" customFormat="false" ht="15" hidden="false" customHeight="false" outlineLevel="0" collapsed="false">
      <c r="A2" s="2" t="s">
        <v>1196</v>
      </c>
    </row>
    <row r="5" customFormat="false" ht="30" hidden="false" customHeight="true" outlineLevel="0" collapsed="false">
      <c r="A5" s="6" t="s">
        <v>1197</v>
      </c>
      <c r="B5" s="6" t="s">
        <v>1198</v>
      </c>
      <c r="C5" s="6" t="s">
        <v>1199</v>
      </c>
      <c r="D5" s="6" t="s">
        <v>55</v>
      </c>
      <c r="E5" s="6" t="s">
        <v>1200</v>
      </c>
      <c r="F5" s="6" t="s">
        <v>1201</v>
      </c>
      <c r="G5" s="6" t="s">
        <v>1202</v>
      </c>
      <c r="H5" s="6" t="s">
        <v>1203</v>
      </c>
      <c r="I5" s="6" t="s">
        <v>1204</v>
      </c>
      <c r="J5" s="6" t="s">
        <v>1205</v>
      </c>
      <c r="K5" s="6" t="s">
        <v>1206</v>
      </c>
      <c r="L5" s="6" t="s">
        <v>1207</v>
      </c>
      <c r="M5" s="6" t="s">
        <v>1208</v>
      </c>
    </row>
    <row r="6" customFormat="false" ht="61.5" hidden="false" customHeight="true" outlineLevel="0" collapsed="false">
      <c r="A6" s="32" t="s">
        <v>1209</v>
      </c>
      <c r="B6" s="32" t="s">
        <v>1186</v>
      </c>
      <c r="C6" s="32" t="s">
        <v>73</v>
      </c>
      <c r="D6" s="32" t="s">
        <v>79</v>
      </c>
      <c r="E6" s="32" t="s">
        <v>1210</v>
      </c>
      <c r="F6" s="32" t="s">
        <v>1211</v>
      </c>
      <c r="G6" s="32" t="s">
        <v>1212</v>
      </c>
      <c r="H6" s="32" t="s">
        <v>1213</v>
      </c>
      <c r="I6" s="32" t="s">
        <v>1214</v>
      </c>
      <c r="J6" s="32" t="s">
        <v>1215</v>
      </c>
      <c r="K6" s="32" t="s">
        <v>1216</v>
      </c>
      <c r="L6" s="32" t="s">
        <v>1217</v>
      </c>
      <c r="M6" s="32" t="s">
        <v>1218</v>
      </c>
    </row>
    <row r="7" customFormat="false" ht="30" hidden="false" customHeight="true" outlineLevel="0" collapsed="false">
      <c r="A7" s="28"/>
      <c r="B7" s="30"/>
      <c r="C7" s="28"/>
      <c r="D7" s="28"/>
      <c r="E7" s="28"/>
      <c r="F7" s="28"/>
      <c r="G7" s="28"/>
      <c r="H7" s="28"/>
      <c r="I7" s="28"/>
      <c r="J7" s="28"/>
      <c r="K7" s="28"/>
      <c r="L7" s="28"/>
      <c r="M7" s="28"/>
    </row>
    <row r="8" customFormat="false" ht="30" hidden="false" customHeight="true" outlineLevel="0" collapsed="false">
      <c r="A8" s="28"/>
      <c r="B8" s="30"/>
      <c r="C8" s="28"/>
      <c r="D8" s="28"/>
      <c r="E8" s="28"/>
      <c r="F8" s="28"/>
      <c r="G8" s="28"/>
      <c r="H8" s="28"/>
      <c r="I8" s="28"/>
      <c r="J8" s="28"/>
      <c r="K8" s="28"/>
      <c r="L8" s="28"/>
      <c r="M8" s="28"/>
    </row>
    <row r="9" customFormat="false" ht="30" hidden="false" customHeight="true" outlineLevel="0" collapsed="false">
      <c r="A9" s="28"/>
      <c r="B9" s="30"/>
      <c r="C9" s="28"/>
      <c r="D9" s="28"/>
      <c r="E9" s="28"/>
      <c r="F9" s="28"/>
      <c r="G9" s="28"/>
      <c r="H9" s="28"/>
      <c r="I9" s="28"/>
      <c r="J9" s="28"/>
      <c r="K9" s="28"/>
      <c r="L9" s="28"/>
      <c r="M9" s="28"/>
    </row>
    <row r="10" customFormat="false" ht="30" hidden="false" customHeight="true" outlineLevel="0" collapsed="false">
      <c r="A10" s="28"/>
      <c r="B10" s="30"/>
      <c r="C10" s="28"/>
      <c r="D10" s="28"/>
      <c r="E10" s="28"/>
      <c r="F10" s="28"/>
      <c r="G10" s="28"/>
      <c r="H10" s="28"/>
      <c r="I10" s="28"/>
      <c r="J10" s="28"/>
      <c r="K10" s="28"/>
      <c r="L10" s="28"/>
      <c r="M10" s="28"/>
    </row>
    <row r="11" customFormat="false" ht="30" hidden="false" customHeight="true" outlineLevel="0" collapsed="false">
      <c r="A11" s="28"/>
      <c r="B11" s="30"/>
      <c r="C11" s="28"/>
      <c r="D11" s="28"/>
      <c r="E11" s="28"/>
      <c r="F11" s="28"/>
      <c r="G11" s="28"/>
      <c r="H11" s="28"/>
      <c r="I11" s="28"/>
      <c r="J11" s="28"/>
      <c r="K11" s="28"/>
      <c r="L11" s="28"/>
      <c r="M11" s="28"/>
    </row>
    <row r="12" customFormat="false" ht="30" hidden="false" customHeight="true" outlineLevel="0" collapsed="false">
      <c r="A12" s="28"/>
      <c r="B12" s="30"/>
      <c r="C12" s="28"/>
      <c r="D12" s="28"/>
      <c r="E12" s="28"/>
      <c r="F12" s="28"/>
      <c r="G12" s="28"/>
      <c r="H12" s="28"/>
      <c r="I12" s="28"/>
      <c r="J12" s="28"/>
      <c r="K12" s="28"/>
      <c r="L12" s="28"/>
      <c r="M12" s="28"/>
    </row>
    <row r="13" customFormat="false" ht="30" hidden="false" customHeight="true" outlineLevel="0" collapsed="false">
      <c r="A13" s="28"/>
      <c r="B13" s="30"/>
      <c r="C13" s="28"/>
      <c r="D13" s="28"/>
      <c r="E13" s="28"/>
      <c r="F13" s="28"/>
      <c r="G13" s="28"/>
      <c r="H13" s="28"/>
      <c r="I13" s="28"/>
      <c r="J13" s="28"/>
      <c r="K13" s="28"/>
      <c r="L13" s="28"/>
      <c r="M13" s="28"/>
    </row>
    <row r="14" customFormat="false" ht="30" hidden="false" customHeight="true" outlineLevel="0" collapsed="false">
      <c r="A14" s="28"/>
      <c r="B14" s="30"/>
      <c r="C14" s="28"/>
      <c r="D14" s="28"/>
      <c r="E14" s="28"/>
      <c r="F14" s="28"/>
      <c r="G14" s="28"/>
      <c r="H14" s="28"/>
      <c r="I14" s="28"/>
      <c r="J14" s="28"/>
      <c r="K14" s="28"/>
      <c r="L14" s="28"/>
      <c r="M14" s="28"/>
    </row>
    <row r="15" customFormat="false" ht="30" hidden="false" customHeight="true" outlineLevel="0" collapsed="false">
      <c r="A15" s="28"/>
      <c r="B15" s="30"/>
      <c r="C15" s="28"/>
      <c r="D15" s="28"/>
      <c r="E15" s="28"/>
      <c r="F15" s="28"/>
      <c r="G15" s="28"/>
      <c r="H15" s="28"/>
      <c r="I15" s="28"/>
      <c r="J15" s="28"/>
      <c r="K15" s="28"/>
      <c r="L15" s="28"/>
      <c r="M15" s="28"/>
    </row>
    <row r="16" customFormat="false" ht="30" hidden="false" customHeight="true" outlineLevel="0" collapsed="false">
      <c r="A16" s="28"/>
      <c r="B16" s="30"/>
      <c r="C16" s="28"/>
      <c r="D16" s="28"/>
      <c r="E16" s="28"/>
      <c r="F16" s="28"/>
      <c r="G16" s="28"/>
      <c r="H16" s="28"/>
      <c r="I16" s="28"/>
      <c r="J16" s="28"/>
      <c r="K16" s="28"/>
      <c r="L16" s="28"/>
      <c r="M16" s="28"/>
    </row>
    <row r="17" customFormat="false" ht="30" hidden="false" customHeight="true" outlineLevel="0" collapsed="false">
      <c r="A17" s="28"/>
      <c r="B17" s="30"/>
      <c r="C17" s="28"/>
      <c r="D17" s="28"/>
      <c r="E17" s="28"/>
      <c r="F17" s="28"/>
      <c r="G17" s="28"/>
      <c r="H17" s="28"/>
      <c r="I17" s="28"/>
      <c r="J17" s="28"/>
      <c r="K17" s="28"/>
      <c r="L17" s="28"/>
      <c r="M17" s="28"/>
    </row>
    <row r="18" customFormat="false" ht="30" hidden="false" customHeight="true" outlineLevel="0" collapsed="false">
      <c r="A18" s="28"/>
      <c r="B18" s="30"/>
      <c r="C18" s="28"/>
      <c r="D18" s="28"/>
      <c r="E18" s="28"/>
      <c r="F18" s="28"/>
      <c r="G18" s="28"/>
      <c r="H18" s="28"/>
      <c r="I18" s="28"/>
      <c r="J18" s="28"/>
      <c r="K18" s="28"/>
      <c r="L18" s="28"/>
      <c r="M18" s="28"/>
    </row>
    <row r="19" customFormat="false" ht="30" hidden="false" customHeight="true" outlineLevel="0" collapsed="false">
      <c r="A19" s="28"/>
      <c r="B19" s="30"/>
      <c r="C19" s="28"/>
      <c r="D19" s="28"/>
      <c r="E19" s="28"/>
      <c r="F19" s="28"/>
      <c r="G19" s="28"/>
      <c r="H19" s="28"/>
      <c r="I19" s="28"/>
      <c r="J19" s="28"/>
      <c r="K19" s="28"/>
      <c r="L19" s="28"/>
      <c r="M19" s="28"/>
    </row>
    <row r="20" customFormat="false" ht="30" hidden="false" customHeight="true" outlineLevel="0" collapsed="false">
      <c r="A20" s="28"/>
      <c r="B20" s="30"/>
      <c r="C20" s="28"/>
      <c r="D20" s="28"/>
      <c r="E20" s="28"/>
      <c r="F20" s="28"/>
      <c r="G20" s="28"/>
      <c r="H20" s="28"/>
      <c r="I20" s="28"/>
      <c r="J20" s="28"/>
      <c r="K20" s="28"/>
      <c r="L20" s="28"/>
      <c r="M20" s="28"/>
    </row>
    <row r="21" customFormat="false" ht="30" hidden="false" customHeight="true" outlineLevel="0" collapsed="false">
      <c r="A21" s="28"/>
      <c r="B21" s="30"/>
      <c r="C21" s="28"/>
      <c r="D21" s="28"/>
      <c r="E21" s="28"/>
      <c r="F21" s="28"/>
      <c r="G21" s="28"/>
      <c r="H21" s="28"/>
      <c r="I21" s="28"/>
      <c r="J21" s="28"/>
      <c r="K21" s="28"/>
      <c r="L21" s="28"/>
      <c r="M21" s="28"/>
    </row>
    <row r="22" customFormat="false" ht="30" hidden="false" customHeight="true" outlineLevel="0" collapsed="false">
      <c r="A22" s="28"/>
      <c r="B22" s="30"/>
      <c r="C22" s="28"/>
      <c r="D22" s="28"/>
      <c r="E22" s="28"/>
      <c r="F22" s="28"/>
      <c r="G22" s="28"/>
      <c r="H22" s="28"/>
      <c r="I22" s="28"/>
      <c r="J22" s="28"/>
      <c r="K22" s="28"/>
      <c r="L22" s="28"/>
      <c r="M22" s="28"/>
    </row>
    <row r="23" customFormat="false" ht="30" hidden="false" customHeight="true" outlineLevel="0" collapsed="false">
      <c r="A23" s="28"/>
      <c r="B23" s="30"/>
      <c r="C23" s="28"/>
      <c r="D23" s="28"/>
      <c r="E23" s="28"/>
      <c r="F23" s="28"/>
      <c r="G23" s="28"/>
      <c r="H23" s="28"/>
      <c r="I23" s="28"/>
      <c r="J23" s="28"/>
      <c r="K23" s="28"/>
      <c r="L23" s="28"/>
      <c r="M23" s="28"/>
    </row>
    <row r="24" customFormat="false" ht="30" hidden="false" customHeight="true" outlineLevel="0" collapsed="false">
      <c r="A24" s="28"/>
      <c r="B24" s="30"/>
      <c r="C24" s="28"/>
      <c r="D24" s="28"/>
      <c r="E24" s="28"/>
      <c r="F24" s="28"/>
      <c r="G24" s="28"/>
      <c r="H24" s="28"/>
      <c r="I24" s="28"/>
      <c r="J24" s="28"/>
      <c r="K24" s="28"/>
      <c r="L24" s="28"/>
      <c r="M24" s="28"/>
    </row>
    <row r="25" customFormat="false" ht="30" hidden="false" customHeight="true" outlineLevel="0" collapsed="false">
      <c r="A25" s="28"/>
      <c r="B25" s="30"/>
      <c r="C25" s="28"/>
      <c r="D25" s="28"/>
      <c r="E25" s="28"/>
      <c r="F25" s="28"/>
      <c r="G25" s="28"/>
      <c r="H25" s="28"/>
      <c r="I25" s="28"/>
      <c r="J25" s="28"/>
      <c r="K25" s="28"/>
      <c r="L25" s="28"/>
      <c r="M25" s="28"/>
    </row>
    <row r="26" customFormat="false" ht="30" hidden="false" customHeight="true" outlineLevel="0" collapsed="false">
      <c r="A26" s="28"/>
      <c r="B26" s="30"/>
      <c r="C26" s="28"/>
      <c r="D26" s="28"/>
      <c r="E26" s="28"/>
      <c r="F26" s="28"/>
      <c r="G26" s="28"/>
      <c r="H26" s="28"/>
      <c r="I26" s="28"/>
      <c r="J26" s="28"/>
      <c r="K26" s="28"/>
      <c r="L26" s="28"/>
      <c r="M26" s="28"/>
    </row>
    <row r="27" customFormat="false" ht="30" hidden="false" customHeight="true" outlineLevel="0" collapsed="false">
      <c r="A27" s="28"/>
      <c r="B27" s="30"/>
      <c r="C27" s="28"/>
      <c r="D27" s="28"/>
      <c r="E27" s="28"/>
      <c r="F27" s="28"/>
      <c r="G27" s="28"/>
      <c r="H27" s="28"/>
      <c r="I27" s="28"/>
      <c r="J27" s="28"/>
      <c r="K27" s="28"/>
      <c r="L27" s="28"/>
      <c r="M27" s="28"/>
    </row>
    <row r="28" customFormat="false" ht="30" hidden="false" customHeight="true" outlineLevel="0" collapsed="false">
      <c r="A28" s="28"/>
      <c r="B28" s="30"/>
      <c r="C28" s="28"/>
      <c r="D28" s="28"/>
      <c r="E28" s="28"/>
      <c r="F28" s="28"/>
      <c r="G28" s="28"/>
      <c r="H28" s="28"/>
      <c r="I28" s="28"/>
      <c r="J28" s="28"/>
      <c r="K28" s="28"/>
      <c r="L28" s="28"/>
      <c r="M28" s="28"/>
    </row>
    <row r="29" customFormat="false" ht="30" hidden="false" customHeight="true" outlineLevel="0" collapsed="false">
      <c r="A29" s="28"/>
      <c r="B29" s="30"/>
      <c r="C29" s="28"/>
      <c r="D29" s="28"/>
      <c r="E29" s="28"/>
      <c r="F29" s="28"/>
      <c r="G29" s="28"/>
      <c r="H29" s="28"/>
      <c r="I29" s="28"/>
      <c r="J29" s="28"/>
      <c r="K29" s="28"/>
      <c r="L29" s="28"/>
      <c r="M29" s="28"/>
    </row>
    <row r="30" customFormat="false" ht="30" hidden="false" customHeight="true" outlineLevel="0" collapsed="false">
      <c r="A30" s="28"/>
      <c r="B30" s="30"/>
      <c r="C30" s="28"/>
      <c r="D30" s="28"/>
      <c r="E30" s="28"/>
      <c r="F30" s="28"/>
      <c r="G30" s="28"/>
      <c r="H30" s="28"/>
      <c r="I30" s="28"/>
      <c r="J30" s="28"/>
      <c r="K30" s="28"/>
      <c r="L30" s="28"/>
      <c r="M30" s="28"/>
    </row>
    <row r="31" customFormat="false" ht="30" hidden="false" customHeight="true" outlineLevel="0" collapsed="false">
      <c r="A31" s="28"/>
      <c r="B31" s="30"/>
      <c r="C31" s="28"/>
      <c r="D31" s="28"/>
      <c r="E31" s="28"/>
      <c r="F31" s="28"/>
      <c r="G31" s="28"/>
      <c r="H31" s="28"/>
      <c r="I31" s="28"/>
      <c r="J31" s="28"/>
      <c r="K31" s="28"/>
      <c r="L31" s="28"/>
      <c r="M31" s="28"/>
    </row>
    <row r="32" customFormat="false" ht="30" hidden="false" customHeight="true" outlineLevel="0" collapsed="false">
      <c r="A32" s="28"/>
      <c r="B32" s="30"/>
      <c r="C32" s="28"/>
      <c r="D32" s="28"/>
      <c r="E32" s="28"/>
      <c r="F32" s="28"/>
      <c r="G32" s="28"/>
      <c r="H32" s="28"/>
      <c r="I32" s="28"/>
      <c r="J32" s="28"/>
      <c r="K32" s="28"/>
      <c r="L32" s="28"/>
      <c r="M32" s="28"/>
    </row>
    <row r="33" customFormat="false" ht="30" hidden="false" customHeight="true" outlineLevel="0" collapsed="false">
      <c r="A33" s="28"/>
      <c r="B33" s="30"/>
      <c r="C33" s="28"/>
      <c r="D33" s="28"/>
      <c r="E33" s="28"/>
      <c r="F33" s="28"/>
      <c r="G33" s="28"/>
      <c r="H33" s="28"/>
      <c r="I33" s="28"/>
      <c r="J33" s="28"/>
      <c r="K33" s="28"/>
      <c r="L33" s="28"/>
      <c r="M33" s="28"/>
    </row>
    <row r="34" customFormat="false" ht="30" hidden="false" customHeight="true" outlineLevel="0" collapsed="false">
      <c r="A34" s="28"/>
      <c r="B34" s="30"/>
      <c r="C34" s="28"/>
      <c r="D34" s="28"/>
      <c r="E34" s="28"/>
      <c r="F34" s="28"/>
      <c r="G34" s="28"/>
      <c r="H34" s="28"/>
      <c r="I34" s="28"/>
      <c r="J34" s="28"/>
      <c r="K34" s="28"/>
      <c r="L34" s="28"/>
      <c r="M34" s="28"/>
    </row>
    <row r="35" customFormat="false" ht="30" hidden="false" customHeight="true" outlineLevel="0" collapsed="false">
      <c r="A35" s="28"/>
      <c r="B35" s="30"/>
      <c r="C35" s="28"/>
      <c r="D35" s="28"/>
      <c r="E35" s="28"/>
      <c r="F35" s="28"/>
      <c r="G35" s="28"/>
      <c r="H35" s="28"/>
      <c r="I35" s="28"/>
      <c r="J35" s="28"/>
      <c r="K35" s="28"/>
      <c r="L35" s="28"/>
      <c r="M35" s="28"/>
    </row>
    <row r="36" customFormat="false" ht="30" hidden="false" customHeight="true" outlineLevel="0" collapsed="false">
      <c r="A36" s="28"/>
      <c r="B36" s="30"/>
      <c r="C36" s="28"/>
      <c r="D36" s="28"/>
      <c r="E36" s="28"/>
      <c r="F36" s="28"/>
      <c r="G36" s="28"/>
      <c r="H36" s="28"/>
      <c r="I36" s="28"/>
      <c r="J36" s="28"/>
      <c r="K36" s="28"/>
      <c r="L36" s="28"/>
      <c r="M36" s="28"/>
    </row>
    <row r="37" customFormat="false" ht="30" hidden="false" customHeight="true" outlineLevel="0" collapsed="false">
      <c r="A37" s="28"/>
      <c r="B37" s="30"/>
      <c r="C37" s="28"/>
      <c r="D37" s="28"/>
      <c r="E37" s="28"/>
      <c r="F37" s="28"/>
      <c r="G37" s="28"/>
      <c r="H37" s="28"/>
      <c r="I37" s="28"/>
      <c r="J37" s="28"/>
      <c r="K37" s="28"/>
      <c r="L37" s="28"/>
      <c r="M37" s="28"/>
    </row>
    <row r="38" customFormat="false" ht="30" hidden="false" customHeight="true" outlineLevel="0" collapsed="false">
      <c r="A38" s="28"/>
      <c r="B38" s="30"/>
      <c r="C38" s="28"/>
      <c r="D38" s="28"/>
      <c r="E38" s="28"/>
      <c r="F38" s="28"/>
      <c r="G38" s="28"/>
      <c r="H38" s="28"/>
      <c r="I38" s="28"/>
      <c r="J38" s="28"/>
      <c r="K38" s="28"/>
      <c r="L38" s="28"/>
      <c r="M38" s="28"/>
    </row>
    <row r="39" customFormat="false" ht="30" hidden="false" customHeight="true" outlineLevel="0" collapsed="false">
      <c r="A39" s="28"/>
      <c r="B39" s="30"/>
      <c r="C39" s="28"/>
      <c r="D39" s="28"/>
      <c r="E39" s="28"/>
      <c r="F39" s="28"/>
      <c r="G39" s="28"/>
      <c r="H39" s="28"/>
      <c r="I39" s="28"/>
      <c r="J39" s="28"/>
      <c r="K39" s="28"/>
      <c r="L39" s="28"/>
      <c r="M39" s="28"/>
    </row>
    <row r="40" customFormat="false" ht="30" hidden="false" customHeight="true" outlineLevel="0" collapsed="false">
      <c r="A40" s="28"/>
      <c r="B40" s="30"/>
      <c r="C40" s="28"/>
      <c r="D40" s="28"/>
      <c r="E40" s="28"/>
      <c r="F40" s="28"/>
      <c r="G40" s="28"/>
      <c r="H40" s="28"/>
      <c r="I40" s="28"/>
      <c r="J40" s="28"/>
      <c r="K40" s="28"/>
      <c r="L40" s="28"/>
      <c r="M40" s="28"/>
    </row>
    <row r="41" customFormat="false" ht="30" hidden="false" customHeight="true" outlineLevel="0" collapsed="false">
      <c r="A41" s="28"/>
      <c r="B41" s="30"/>
      <c r="C41" s="28"/>
      <c r="D41" s="28"/>
      <c r="E41" s="28"/>
      <c r="F41" s="28"/>
      <c r="G41" s="28"/>
      <c r="H41" s="28"/>
      <c r="I41" s="28"/>
      <c r="J41" s="28"/>
      <c r="K41" s="28"/>
      <c r="L41" s="28"/>
      <c r="M41" s="28"/>
    </row>
    <row r="42" customFormat="false" ht="30" hidden="false" customHeight="true" outlineLevel="0" collapsed="false">
      <c r="A42" s="28"/>
      <c r="B42" s="30"/>
      <c r="C42" s="28"/>
      <c r="D42" s="28"/>
      <c r="E42" s="28"/>
      <c r="F42" s="28"/>
      <c r="G42" s="28"/>
      <c r="H42" s="28"/>
      <c r="I42" s="28"/>
      <c r="J42" s="28"/>
      <c r="K42" s="28"/>
      <c r="L42" s="28"/>
      <c r="M42" s="28"/>
    </row>
    <row r="43" customFormat="false" ht="30" hidden="false" customHeight="true" outlineLevel="0" collapsed="false">
      <c r="A43" s="28"/>
      <c r="B43" s="30"/>
      <c r="C43" s="28"/>
      <c r="D43" s="28"/>
      <c r="E43" s="28"/>
      <c r="F43" s="28"/>
      <c r="G43" s="28"/>
      <c r="H43" s="28"/>
      <c r="I43" s="28"/>
      <c r="J43" s="28"/>
      <c r="K43" s="28"/>
      <c r="L43" s="28"/>
      <c r="M43" s="28"/>
    </row>
    <row r="44" customFormat="false" ht="30" hidden="false" customHeight="true" outlineLevel="0" collapsed="false">
      <c r="A44" s="28"/>
      <c r="B44" s="30"/>
      <c r="C44" s="28"/>
      <c r="D44" s="28"/>
      <c r="E44" s="28"/>
      <c r="F44" s="28"/>
      <c r="G44" s="28"/>
      <c r="H44" s="28"/>
      <c r="I44" s="28"/>
      <c r="J44" s="28"/>
      <c r="K44" s="28"/>
      <c r="L44" s="28"/>
      <c r="M44" s="28"/>
    </row>
    <row r="45" customFormat="false" ht="30" hidden="false" customHeight="true" outlineLevel="0" collapsed="false">
      <c r="A45" s="28"/>
      <c r="B45" s="30"/>
      <c r="C45" s="28"/>
      <c r="D45" s="28"/>
      <c r="E45" s="28"/>
      <c r="F45" s="28"/>
      <c r="G45" s="28"/>
      <c r="H45" s="28"/>
      <c r="I45" s="28"/>
      <c r="J45" s="28"/>
      <c r="K45" s="28"/>
      <c r="L45" s="28"/>
      <c r="M45" s="28"/>
    </row>
    <row r="46" customFormat="false" ht="30" hidden="false" customHeight="true" outlineLevel="0" collapsed="false">
      <c r="A46" s="28"/>
      <c r="B46" s="30"/>
      <c r="C46" s="28"/>
      <c r="D46" s="28"/>
      <c r="E46" s="28"/>
      <c r="F46" s="28"/>
      <c r="G46" s="28"/>
      <c r="H46" s="28"/>
      <c r="I46" s="28"/>
      <c r="J46" s="28"/>
      <c r="K46" s="28"/>
      <c r="L46" s="28"/>
      <c r="M46" s="28"/>
    </row>
    <row r="47" customFormat="false" ht="30" hidden="false" customHeight="true" outlineLevel="0" collapsed="false">
      <c r="A47" s="28"/>
      <c r="B47" s="30"/>
      <c r="C47" s="28"/>
      <c r="D47" s="28"/>
      <c r="E47" s="28"/>
      <c r="F47" s="28"/>
      <c r="G47" s="28"/>
      <c r="H47" s="28"/>
      <c r="I47" s="28"/>
      <c r="J47" s="28"/>
      <c r="K47" s="28"/>
      <c r="L47" s="28"/>
      <c r="M47" s="28"/>
    </row>
    <row r="48" customFormat="false" ht="30" hidden="false" customHeight="true" outlineLevel="0" collapsed="false">
      <c r="A48" s="28"/>
      <c r="B48" s="30"/>
      <c r="C48" s="28"/>
      <c r="D48" s="28"/>
      <c r="E48" s="28"/>
      <c r="F48" s="28"/>
      <c r="G48" s="28"/>
      <c r="H48" s="28"/>
      <c r="I48" s="28"/>
      <c r="J48" s="28"/>
      <c r="K48" s="28"/>
      <c r="L48" s="28"/>
      <c r="M48" s="28"/>
    </row>
    <row r="49" customFormat="false" ht="30" hidden="false" customHeight="true" outlineLevel="0" collapsed="false">
      <c r="A49" s="28"/>
      <c r="B49" s="30"/>
      <c r="C49" s="28"/>
      <c r="D49" s="28"/>
      <c r="E49" s="28"/>
      <c r="F49" s="28"/>
      <c r="G49" s="28"/>
      <c r="H49" s="28"/>
      <c r="I49" s="28"/>
      <c r="J49" s="28"/>
      <c r="K49" s="28"/>
      <c r="L49" s="28"/>
      <c r="M49" s="28"/>
    </row>
    <row r="50" customFormat="false" ht="30" hidden="false" customHeight="true" outlineLevel="0" collapsed="false">
      <c r="A50" s="28"/>
      <c r="B50" s="30"/>
      <c r="C50" s="28"/>
      <c r="D50" s="28"/>
      <c r="E50" s="28"/>
      <c r="F50" s="28"/>
      <c r="G50" s="28"/>
      <c r="H50" s="28"/>
      <c r="I50" s="28"/>
      <c r="J50" s="28"/>
      <c r="K50" s="28"/>
      <c r="L50" s="28"/>
      <c r="M50" s="28"/>
    </row>
    <row r="51" customFormat="false" ht="30" hidden="false" customHeight="true" outlineLevel="0" collapsed="false">
      <c r="A51" s="28"/>
      <c r="B51" s="30"/>
      <c r="C51" s="28"/>
      <c r="D51" s="28"/>
      <c r="E51" s="28"/>
      <c r="F51" s="28"/>
      <c r="G51" s="28"/>
      <c r="H51" s="28"/>
      <c r="I51" s="28"/>
      <c r="J51" s="28"/>
      <c r="K51" s="28"/>
      <c r="L51" s="28"/>
      <c r="M51" s="28"/>
    </row>
    <row r="52" customFormat="false" ht="30" hidden="false" customHeight="true" outlineLevel="0" collapsed="false">
      <c r="A52" s="28"/>
      <c r="B52" s="30"/>
      <c r="C52" s="28"/>
      <c r="D52" s="28"/>
      <c r="E52" s="28"/>
      <c r="F52" s="28"/>
      <c r="G52" s="28"/>
      <c r="H52" s="28"/>
      <c r="I52" s="28"/>
      <c r="J52" s="28"/>
      <c r="K52" s="28"/>
      <c r="L52" s="28"/>
      <c r="M52" s="28"/>
    </row>
    <row r="53" customFormat="false" ht="30" hidden="false" customHeight="true" outlineLevel="0" collapsed="false">
      <c r="A53" s="28"/>
      <c r="B53" s="30"/>
      <c r="C53" s="28"/>
      <c r="D53" s="28"/>
      <c r="E53" s="28"/>
      <c r="F53" s="28"/>
      <c r="G53" s="28"/>
      <c r="H53" s="28"/>
      <c r="I53" s="28"/>
      <c r="J53" s="28"/>
      <c r="K53" s="28"/>
      <c r="L53" s="28"/>
      <c r="M53" s="28"/>
    </row>
    <row r="54" customFormat="false" ht="30" hidden="false" customHeight="true" outlineLevel="0" collapsed="false">
      <c r="A54" s="28"/>
      <c r="B54" s="30"/>
      <c r="C54" s="28"/>
      <c r="D54" s="28"/>
      <c r="E54" s="28"/>
      <c r="F54" s="28"/>
      <c r="G54" s="28"/>
      <c r="H54" s="28"/>
      <c r="I54" s="28"/>
      <c r="J54" s="28"/>
      <c r="K54" s="28"/>
      <c r="L54" s="28"/>
      <c r="M54" s="28"/>
    </row>
    <row r="55" customFormat="false" ht="30" hidden="false" customHeight="true" outlineLevel="0" collapsed="false">
      <c r="A55" s="28"/>
      <c r="B55" s="30"/>
      <c r="C55" s="28"/>
      <c r="D55" s="28"/>
      <c r="E55" s="28"/>
      <c r="F55" s="28"/>
      <c r="G55" s="28"/>
      <c r="H55" s="28"/>
      <c r="I55" s="28"/>
      <c r="J55" s="28"/>
      <c r="K55" s="28"/>
      <c r="L55" s="28"/>
      <c r="M55" s="28"/>
    </row>
    <row r="56" customFormat="false" ht="30" hidden="false" customHeight="true" outlineLevel="0" collapsed="false">
      <c r="A56" s="28"/>
      <c r="B56" s="30"/>
      <c r="C56" s="28"/>
      <c r="D56" s="28"/>
      <c r="E56" s="28"/>
      <c r="F56" s="28"/>
      <c r="G56" s="28"/>
      <c r="H56" s="28"/>
      <c r="I56" s="28"/>
      <c r="J56" s="28"/>
      <c r="K56" s="28"/>
      <c r="L56" s="28"/>
      <c r="M56" s="28"/>
    </row>
    <row r="57" customFormat="false" ht="30" hidden="false" customHeight="true" outlineLevel="0" collapsed="false">
      <c r="A57" s="28"/>
      <c r="B57" s="30"/>
      <c r="C57" s="28"/>
      <c r="D57" s="28"/>
      <c r="E57" s="28"/>
      <c r="F57" s="28"/>
      <c r="G57" s="28"/>
      <c r="H57" s="28"/>
      <c r="I57" s="28"/>
      <c r="J57" s="28"/>
      <c r="K57" s="28"/>
      <c r="L57" s="28"/>
      <c r="M57" s="28"/>
    </row>
    <row r="58" customFormat="false" ht="30" hidden="false" customHeight="true" outlineLevel="0" collapsed="false">
      <c r="A58" s="28"/>
      <c r="B58" s="30"/>
      <c r="C58" s="28"/>
      <c r="D58" s="28"/>
      <c r="E58" s="28"/>
      <c r="F58" s="28"/>
      <c r="G58" s="28"/>
      <c r="H58" s="28"/>
      <c r="I58" s="28"/>
      <c r="J58" s="28"/>
      <c r="K58" s="28"/>
      <c r="L58" s="28"/>
      <c r="M58" s="28"/>
    </row>
    <row r="59" customFormat="false" ht="30" hidden="false" customHeight="true" outlineLevel="0" collapsed="false">
      <c r="A59" s="28"/>
      <c r="B59" s="30"/>
      <c r="C59" s="28"/>
      <c r="D59" s="28"/>
      <c r="E59" s="28"/>
      <c r="F59" s="28"/>
      <c r="G59" s="28"/>
      <c r="H59" s="28"/>
      <c r="I59" s="28"/>
      <c r="J59" s="28"/>
      <c r="K59" s="28"/>
      <c r="L59" s="28"/>
      <c r="M59" s="28"/>
    </row>
    <row r="60" customFormat="false" ht="30" hidden="false" customHeight="true" outlineLevel="0" collapsed="false">
      <c r="A60" s="28"/>
      <c r="B60" s="30"/>
      <c r="C60" s="28"/>
      <c r="D60" s="28"/>
      <c r="E60" s="28"/>
      <c r="F60" s="28"/>
      <c r="G60" s="28"/>
      <c r="H60" s="28"/>
      <c r="I60" s="28"/>
      <c r="J60" s="28"/>
      <c r="K60" s="28"/>
      <c r="L60" s="28"/>
      <c r="M60" s="28"/>
    </row>
    <row r="61" customFormat="false" ht="30" hidden="false" customHeight="true" outlineLevel="0" collapsed="false">
      <c r="A61" s="28"/>
      <c r="B61" s="30"/>
      <c r="C61" s="28"/>
      <c r="D61" s="28"/>
      <c r="E61" s="28"/>
      <c r="F61" s="28"/>
      <c r="G61" s="28"/>
      <c r="H61" s="28"/>
      <c r="I61" s="28"/>
      <c r="J61" s="28"/>
      <c r="K61" s="28"/>
      <c r="L61" s="28"/>
      <c r="M61" s="28"/>
    </row>
    <row r="62" customFormat="false" ht="30" hidden="false" customHeight="true" outlineLevel="0" collapsed="false">
      <c r="A62" s="28"/>
      <c r="B62" s="30"/>
      <c r="C62" s="28"/>
      <c r="D62" s="28"/>
      <c r="E62" s="28"/>
      <c r="F62" s="28"/>
      <c r="G62" s="28"/>
      <c r="H62" s="28"/>
      <c r="I62" s="28"/>
      <c r="J62" s="28"/>
      <c r="K62" s="28"/>
      <c r="L62" s="28"/>
      <c r="M62" s="28"/>
    </row>
    <row r="63" customFormat="false" ht="30" hidden="false" customHeight="true" outlineLevel="0" collapsed="false">
      <c r="A63" s="28"/>
      <c r="B63" s="30"/>
      <c r="C63" s="28"/>
      <c r="D63" s="28"/>
      <c r="E63" s="28"/>
      <c r="F63" s="28"/>
      <c r="G63" s="28"/>
      <c r="H63" s="28"/>
      <c r="I63" s="28"/>
      <c r="J63" s="28"/>
      <c r="K63" s="28"/>
      <c r="L63" s="28"/>
      <c r="M63" s="28"/>
    </row>
    <row r="64" customFormat="false" ht="30" hidden="false" customHeight="true" outlineLevel="0" collapsed="false">
      <c r="A64" s="28"/>
      <c r="B64" s="30"/>
      <c r="C64" s="28"/>
      <c r="D64" s="28"/>
      <c r="E64" s="28"/>
      <c r="F64" s="28"/>
      <c r="G64" s="28"/>
      <c r="H64" s="28"/>
      <c r="I64" s="28"/>
      <c r="J64" s="28"/>
      <c r="K64" s="28"/>
      <c r="L64" s="28"/>
      <c r="M64" s="28"/>
    </row>
    <row r="65" customFormat="false" ht="30" hidden="false" customHeight="true" outlineLevel="0" collapsed="false">
      <c r="A65" s="28"/>
      <c r="B65" s="30"/>
      <c r="C65" s="28"/>
      <c r="D65" s="28"/>
      <c r="E65" s="28"/>
      <c r="F65" s="28"/>
      <c r="G65" s="28"/>
      <c r="H65" s="28"/>
      <c r="I65" s="28"/>
      <c r="J65" s="28"/>
      <c r="K65" s="28"/>
      <c r="L65" s="28"/>
      <c r="M65" s="28"/>
    </row>
    <row r="66" customFormat="false" ht="30" hidden="false" customHeight="true" outlineLevel="0" collapsed="false">
      <c r="A66" s="28"/>
      <c r="B66" s="30"/>
      <c r="C66" s="28"/>
      <c r="D66" s="28"/>
      <c r="E66" s="28"/>
      <c r="F66" s="28"/>
      <c r="G66" s="28"/>
      <c r="H66" s="28"/>
      <c r="I66" s="28"/>
      <c r="J66" s="28"/>
      <c r="K66" s="28"/>
      <c r="L66" s="28"/>
      <c r="M66" s="28"/>
    </row>
    <row r="67" customFormat="false" ht="30" hidden="false" customHeight="true" outlineLevel="0" collapsed="false">
      <c r="A67" s="28"/>
      <c r="B67" s="30"/>
      <c r="C67" s="28"/>
      <c r="D67" s="28"/>
      <c r="E67" s="28"/>
      <c r="F67" s="28"/>
      <c r="G67" s="28"/>
      <c r="H67" s="28"/>
      <c r="I67" s="28"/>
      <c r="J67" s="28"/>
      <c r="K67" s="28"/>
      <c r="L67" s="28"/>
      <c r="M67" s="28"/>
    </row>
    <row r="68" customFormat="false" ht="30" hidden="false" customHeight="true" outlineLevel="0" collapsed="false">
      <c r="A68" s="28"/>
      <c r="B68" s="30"/>
      <c r="C68" s="28"/>
      <c r="D68" s="28"/>
      <c r="E68" s="28"/>
      <c r="F68" s="28"/>
      <c r="G68" s="28"/>
      <c r="H68" s="28"/>
      <c r="I68" s="28"/>
      <c r="J68" s="28"/>
      <c r="K68" s="28"/>
      <c r="L68" s="28"/>
      <c r="M68" s="28"/>
    </row>
    <row r="69" customFormat="false" ht="30" hidden="false" customHeight="true" outlineLevel="0" collapsed="false">
      <c r="A69" s="28"/>
      <c r="B69" s="30"/>
      <c r="C69" s="28"/>
      <c r="D69" s="28"/>
      <c r="E69" s="28"/>
      <c r="F69" s="28"/>
      <c r="G69" s="28"/>
      <c r="H69" s="28"/>
      <c r="I69" s="28"/>
      <c r="J69" s="28"/>
      <c r="K69" s="28"/>
      <c r="L69" s="28"/>
      <c r="M69" s="28"/>
    </row>
    <row r="70" customFormat="false" ht="30" hidden="false" customHeight="true" outlineLevel="0" collapsed="false">
      <c r="A70" s="28"/>
      <c r="B70" s="30"/>
      <c r="C70" s="28"/>
      <c r="D70" s="28"/>
      <c r="E70" s="28"/>
      <c r="F70" s="28"/>
      <c r="G70" s="28"/>
      <c r="H70" s="28"/>
      <c r="I70" s="28"/>
      <c r="J70" s="28"/>
      <c r="K70" s="28"/>
      <c r="L70" s="28"/>
      <c r="M70" s="28"/>
    </row>
    <row r="71" customFormat="false" ht="30" hidden="false" customHeight="true" outlineLevel="0" collapsed="false">
      <c r="A71" s="28"/>
      <c r="B71" s="30"/>
      <c r="C71" s="28"/>
      <c r="D71" s="28"/>
      <c r="E71" s="28"/>
      <c r="F71" s="28"/>
      <c r="G71" s="28"/>
      <c r="H71" s="28"/>
      <c r="I71" s="28"/>
      <c r="J71" s="28"/>
      <c r="K71" s="28"/>
      <c r="L71" s="28"/>
      <c r="M71" s="28"/>
    </row>
    <row r="72" customFormat="false" ht="30" hidden="false" customHeight="true" outlineLevel="0" collapsed="false">
      <c r="A72" s="28"/>
      <c r="B72" s="30"/>
      <c r="C72" s="28"/>
      <c r="D72" s="28"/>
      <c r="E72" s="28"/>
      <c r="F72" s="28"/>
      <c r="G72" s="28"/>
      <c r="H72" s="28"/>
      <c r="I72" s="28"/>
      <c r="J72" s="28"/>
      <c r="K72" s="28"/>
      <c r="L72" s="28"/>
      <c r="M72" s="28"/>
    </row>
    <row r="73" customFormat="false" ht="30" hidden="false" customHeight="true" outlineLevel="0" collapsed="false">
      <c r="A73" s="28"/>
      <c r="B73" s="30"/>
      <c r="C73" s="28"/>
      <c r="D73" s="28"/>
      <c r="E73" s="28"/>
      <c r="F73" s="28"/>
      <c r="G73" s="28"/>
      <c r="H73" s="28"/>
      <c r="I73" s="28"/>
      <c r="J73" s="28"/>
      <c r="K73" s="28"/>
      <c r="L73" s="28"/>
      <c r="M73" s="28"/>
    </row>
    <row r="74" customFormat="false" ht="30" hidden="false" customHeight="true" outlineLevel="0" collapsed="false">
      <c r="A74" s="28"/>
      <c r="B74" s="30"/>
      <c r="C74" s="28"/>
      <c r="D74" s="28"/>
      <c r="E74" s="28"/>
      <c r="F74" s="28"/>
      <c r="G74" s="28"/>
      <c r="H74" s="28"/>
      <c r="I74" s="28"/>
      <c r="J74" s="28"/>
      <c r="K74" s="28"/>
      <c r="L74" s="28"/>
      <c r="M74" s="28"/>
    </row>
    <row r="75" customFormat="false" ht="30" hidden="false" customHeight="true" outlineLevel="0" collapsed="false">
      <c r="A75" s="28"/>
      <c r="B75" s="30"/>
      <c r="C75" s="28"/>
      <c r="D75" s="28"/>
      <c r="E75" s="28"/>
      <c r="F75" s="28"/>
      <c r="G75" s="28"/>
      <c r="H75" s="28"/>
      <c r="I75" s="28"/>
      <c r="J75" s="28"/>
      <c r="K75" s="28"/>
      <c r="L75" s="28"/>
      <c r="M75" s="28"/>
    </row>
    <row r="76" customFormat="false" ht="30" hidden="false" customHeight="true" outlineLevel="0" collapsed="false">
      <c r="A76" s="28"/>
      <c r="B76" s="30"/>
      <c r="C76" s="28"/>
      <c r="D76" s="28"/>
      <c r="E76" s="28"/>
      <c r="F76" s="28"/>
      <c r="G76" s="28"/>
      <c r="H76" s="28"/>
      <c r="I76" s="28"/>
      <c r="J76" s="28"/>
      <c r="K76" s="28"/>
      <c r="L76" s="28"/>
      <c r="M76" s="28"/>
    </row>
    <row r="77" customFormat="false" ht="30" hidden="false" customHeight="true" outlineLevel="0" collapsed="false">
      <c r="A77" s="28"/>
      <c r="B77" s="30"/>
      <c r="C77" s="28"/>
      <c r="D77" s="28"/>
      <c r="E77" s="28"/>
      <c r="F77" s="28"/>
      <c r="G77" s="28"/>
      <c r="H77" s="28"/>
      <c r="I77" s="28"/>
      <c r="J77" s="28"/>
      <c r="K77" s="28"/>
      <c r="L77" s="28"/>
      <c r="M77" s="28"/>
    </row>
    <row r="78" customFormat="false" ht="30" hidden="false" customHeight="true" outlineLevel="0" collapsed="false">
      <c r="A78" s="28"/>
      <c r="B78" s="30"/>
      <c r="C78" s="28"/>
      <c r="D78" s="28"/>
      <c r="E78" s="28"/>
      <c r="F78" s="28"/>
      <c r="G78" s="28"/>
      <c r="H78" s="28"/>
      <c r="I78" s="28"/>
      <c r="J78" s="28"/>
      <c r="K78" s="28"/>
      <c r="L78" s="28"/>
      <c r="M78" s="28"/>
    </row>
    <row r="79" customFormat="false" ht="30" hidden="false" customHeight="true" outlineLevel="0" collapsed="false">
      <c r="A79" s="28"/>
      <c r="B79" s="30"/>
      <c r="C79" s="28"/>
      <c r="D79" s="28"/>
      <c r="E79" s="28"/>
      <c r="F79" s="28"/>
      <c r="G79" s="28"/>
      <c r="H79" s="28"/>
      <c r="I79" s="28"/>
      <c r="J79" s="28"/>
      <c r="K79" s="28"/>
      <c r="L79" s="28"/>
      <c r="M79" s="28"/>
    </row>
    <row r="80" customFormat="false" ht="30" hidden="false" customHeight="true" outlineLevel="0" collapsed="false">
      <c r="A80" s="28"/>
      <c r="B80" s="30"/>
      <c r="C80" s="28"/>
      <c r="D80" s="28"/>
      <c r="E80" s="28"/>
      <c r="F80" s="28"/>
      <c r="G80" s="28"/>
      <c r="H80" s="28"/>
      <c r="I80" s="28"/>
      <c r="J80" s="28"/>
      <c r="K80" s="28"/>
      <c r="L80" s="28"/>
      <c r="M80" s="28"/>
    </row>
    <row r="81" customFormat="false" ht="30" hidden="false" customHeight="true" outlineLevel="0" collapsed="false">
      <c r="A81" s="28"/>
      <c r="B81" s="30"/>
      <c r="C81" s="28"/>
      <c r="D81" s="28"/>
      <c r="E81" s="28"/>
      <c r="F81" s="28"/>
      <c r="G81" s="28"/>
      <c r="H81" s="28"/>
      <c r="I81" s="28"/>
      <c r="J81" s="28"/>
      <c r="K81" s="28"/>
      <c r="L81" s="28"/>
      <c r="M81" s="28"/>
    </row>
    <row r="82" customFormat="false" ht="30" hidden="false" customHeight="true" outlineLevel="0" collapsed="false">
      <c r="A82" s="28"/>
      <c r="B82" s="30"/>
      <c r="C82" s="28"/>
      <c r="D82" s="28"/>
      <c r="E82" s="28"/>
      <c r="F82" s="28"/>
      <c r="G82" s="28"/>
      <c r="H82" s="28"/>
      <c r="I82" s="28"/>
      <c r="J82" s="28"/>
      <c r="K82" s="28"/>
      <c r="L82" s="28"/>
      <c r="M82" s="28"/>
    </row>
    <row r="83" customFormat="false" ht="30" hidden="false" customHeight="true" outlineLevel="0" collapsed="false">
      <c r="A83" s="28"/>
      <c r="B83" s="30"/>
      <c r="C83" s="28"/>
      <c r="D83" s="28"/>
      <c r="E83" s="28"/>
      <c r="F83" s="28"/>
      <c r="G83" s="28"/>
      <c r="H83" s="28"/>
      <c r="I83" s="28"/>
      <c r="J83" s="28"/>
      <c r="K83" s="28"/>
      <c r="L83" s="28"/>
      <c r="M83" s="28"/>
    </row>
    <row r="84" customFormat="false" ht="30" hidden="false" customHeight="true" outlineLevel="0" collapsed="false">
      <c r="A84" s="28"/>
      <c r="B84" s="30"/>
      <c r="C84" s="28"/>
      <c r="D84" s="28"/>
      <c r="E84" s="28"/>
      <c r="F84" s="28"/>
      <c r="G84" s="28"/>
      <c r="H84" s="28"/>
      <c r="I84" s="28"/>
      <c r="J84" s="28"/>
      <c r="K84" s="28"/>
      <c r="L84" s="28"/>
      <c r="M84" s="28"/>
    </row>
    <row r="85" customFormat="false" ht="30" hidden="false" customHeight="true" outlineLevel="0" collapsed="false">
      <c r="A85" s="28"/>
      <c r="B85" s="30"/>
      <c r="C85" s="28"/>
      <c r="D85" s="28"/>
      <c r="E85" s="28"/>
      <c r="F85" s="28"/>
      <c r="G85" s="28"/>
      <c r="H85" s="28"/>
      <c r="I85" s="28"/>
      <c r="J85" s="28"/>
      <c r="K85" s="28"/>
      <c r="L85" s="28"/>
      <c r="M85" s="28"/>
    </row>
    <row r="86" customFormat="false" ht="30" hidden="false" customHeight="true" outlineLevel="0" collapsed="false">
      <c r="A86" s="28"/>
      <c r="B86" s="30"/>
      <c r="C86" s="28"/>
      <c r="D86" s="28"/>
      <c r="E86" s="28"/>
      <c r="F86" s="28"/>
      <c r="G86" s="28"/>
      <c r="H86" s="28"/>
      <c r="I86" s="28"/>
      <c r="J86" s="28"/>
      <c r="K86" s="28"/>
      <c r="L86" s="28"/>
      <c r="M86" s="28"/>
    </row>
    <row r="87" customFormat="false" ht="30" hidden="false" customHeight="true" outlineLevel="0" collapsed="false">
      <c r="A87" s="28"/>
      <c r="B87" s="30"/>
      <c r="C87" s="28"/>
      <c r="D87" s="28"/>
      <c r="E87" s="28"/>
      <c r="F87" s="28"/>
      <c r="G87" s="28"/>
      <c r="H87" s="28"/>
      <c r="I87" s="28"/>
      <c r="J87" s="28"/>
      <c r="K87" s="28"/>
      <c r="L87" s="28"/>
      <c r="M87" s="28"/>
    </row>
    <row r="88" customFormat="false" ht="30" hidden="false" customHeight="true" outlineLevel="0" collapsed="false">
      <c r="A88" s="28"/>
      <c r="B88" s="30"/>
      <c r="C88" s="28"/>
      <c r="D88" s="28"/>
      <c r="E88" s="28"/>
      <c r="F88" s="28"/>
      <c r="G88" s="28"/>
      <c r="H88" s="28"/>
      <c r="I88" s="28"/>
      <c r="J88" s="28"/>
      <c r="K88" s="28"/>
      <c r="L88" s="28"/>
      <c r="M88" s="28"/>
    </row>
    <row r="89" customFormat="false" ht="30" hidden="false" customHeight="true" outlineLevel="0" collapsed="false">
      <c r="A89" s="28"/>
      <c r="B89" s="30"/>
      <c r="C89" s="28"/>
      <c r="D89" s="28"/>
      <c r="E89" s="28"/>
      <c r="F89" s="28"/>
      <c r="G89" s="28"/>
      <c r="H89" s="28"/>
      <c r="I89" s="28"/>
      <c r="J89" s="28"/>
      <c r="K89" s="28"/>
      <c r="L89" s="28"/>
      <c r="M89" s="28"/>
    </row>
    <row r="90" customFormat="false" ht="30" hidden="false" customHeight="true" outlineLevel="0" collapsed="false">
      <c r="A90" s="28"/>
      <c r="B90" s="30"/>
      <c r="C90" s="28"/>
      <c r="D90" s="28"/>
      <c r="E90" s="28"/>
      <c r="F90" s="28"/>
      <c r="G90" s="28"/>
      <c r="H90" s="28"/>
      <c r="I90" s="28"/>
      <c r="J90" s="28"/>
      <c r="K90" s="28"/>
      <c r="L90" s="28"/>
      <c r="M90" s="28"/>
    </row>
    <row r="91" customFormat="false" ht="30" hidden="false" customHeight="true" outlineLevel="0" collapsed="false">
      <c r="A91" s="28"/>
      <c r="B91" s="30"/>
      <c r="C91" s="28"/>
      <c r="D91" s="28"/>
      <c r="E91" s="28"/>
      <c r="F91" s="28"/>
      <c r="G91" s="28"/>
      <c r="H91" s="28"/>
      <c r="I91" s="28"/>
      <c r="J91" s="28"/>
      <c r="K91" s="28"/>
      <c r="L91" s="28"/>
      <c r="M91" s="28"/>
    </row>
    <row r="92" customFormat="false" ht="30" hidden="false" customHeight="true" outlineLevel="0" collapsed="false">
      <c r="A92" s="28"/>
      <c r="B92" s="30"/>
      <c r="C92" s="28"/>
      <c r="D92" s="28"/>
      <c r="E92" s="28"/>
      <c r="F92" s="28"/>
      <c r="G92" s="28"/>
      <c r="H92" s="28"/>
      <c r="I92" s="28"/>
      <c r="J92" s="28"/>
      <c r="K92" s="28"/>
      <c r="L92" s="28"/>
      <c r="M92" s="28"/>
    </row>
    <row r="93" customFormat="false" ht="30" hidden="false" customHeight="true" outlineLevel="0" collapsed="false">
      <c r="A93" s="28"/>
      <c r="B93" s="30"/>
      <c r="C93" s="28"/>
      <c r="D93" s="28"/>
      <c r="E93" s="28"/>
      <c r="F93" s="28"/>
      <c r="G93" s="28"/>
      <c r="H93" s="28"/>
      <c r="I93" s="28"/>
      <c r="J93" s="28"/>
      <c r="K93" s="28"/>
      <c r="L93" s="28"/>
      <c r="M93" s="28"/>
    </row>
    <row r="94" customFormat="false" ht="30" hidden="false" customHeight="true" outlineLevel="0" collapsed="false">
      <c r="A94" s="28"/>
      <c r="B94" s="30"/>
      <c r="C94" s="28"/>
      <c r="D94" s="28"/>
      <c r="E94" s="28"/>
      <c r="F94" s="28"/>
      <c r="G94" s="28"/>
      <c r="H94" s="28"/>
      <c r="I94" s="28"/>
      <c r="J94" s="28"/>
      <c r="K94" s="28"/>
      <c r="L94" s="28"/>
      <c r="M94" s="28"/>
    </row>
    <row r="95" customFormat="false" ht="30" hidden="false" customHeight="true" outlineLevel="0" collapsed="false">
      <c r="A95" s="28"/>
      <c r="B95" s="30"/>
      <c r="C95" s="28"/>
      <c r="D95" s="28"/>
      <c r="E95" s="28"/>
      <c r="F95" s="28"/>
      <c r="G95" s="28"/>
      <c r="H95" s="28"/>
      <c r="I95" s="28"/>
      <c r="J95" s="28"/>
      <c r="K95" s="28"/>
      <c r="L95" s="28"/>
      <c r="M95" s="28"/>
    </row>
    <row r="96" customFormat="false" ht="30" hidden="false" customHeight="true" outlineLevel="0" collapsed="false">
      <c r="A96" s="28"/>
      <c r="B96" s="30"/>
      <c r="C96" s="28"/>
      <c r="D96" s="28"/>
      <c r="E96" s="28"/>
      <c r="F96" s="28"/>
      <c r="G96" s="28"/>
      <c r="H96" s="28"/>
      <c r="I96" s="28"/>
      <c r="J96" s="28"/>
      <c r="K96" s="28"/>
      <c r="L96" s="28"/>
      <c r="M96" s="28"/>
    </row>
    <row r="97" customFormat="false" ht="30" hidden="false" customHeight="true" outlineLevel="0" collapsed="false">
      <c r="A97" s="28"/>
      <c r="B97" s="30"/>
      <c r="C97" s="28"/>
      <c r="D97" s="28"/>
      <c r="E97" s="28"/>
      <c r="F97" s="28"/>
      <c r="G97" s="28"/>
      <c r="H97" s="28"/>
      <c r="I97" s="28"/>
      <c r="J97" s="28"/>
      <c r="K97" s="28"/>
      <c r="L97" s="28"/>
      <c r="M97" s="28"/>
    </row>
    <row r="98" customFormat="false" ht="30" hidden="false" customHeight="true" outlineLevel="0" collapsed="false">
      <c r="A98" s="28"/>
      <c r="B98" s="30"/>
      <c r="C98" s="28"/>
      <c r="D98" s="28"/>
      <c r="E98" s="28"/>
      <c r="F98" s="28"/>
      <c r="G98" s="28"/>
      <c r="H98" s="28"/>
      <c r="I98" s="28"/>
      <c r="J98" s="28"/>
      <c r="K98" s="28"/>
      <c r="L98" s="28"/>
      <c r="M98" s="28"/>
    </row>
    <row r="99" customFormat="false" ht="30" hidden="false" customHeight="true" outlineLevel="0" collapsed="false">
      <c r="A99" s="28"/>
      <c r="B99" s="30"/>
      <c r="C99" s="28"/>
      <c r="D99" s="28"/>
      <c r="E99" s="28"/>
      <c r="F99" s="28"/>
      <c r="G99" s="28"/>
      <c r="H99" s="28"/>
      <c r="I99" s="28"/>
      <c r="J99" s="28"/>
      <c r="K99" s="28"/>
      <c r="L99" s="28"/>
      <c r="M99" s="28"/>
    </row>
    <row r="100" customFormat="false" ht="30" hidden="false" customHeight="true" outlineLevel="0" collapsed="false">
      <c r="A100" s="28"/>
      <c r="B100" s="30"/>
      <c r="C100" s="28"/>
      <c r="D100" s="28"/>
      <c r="E100" s="28"/>
      <c r="F100" s="28"/>
      <c r="G100" s="28"/>
      <c r="H100" s="28"/>
      <c r="I100" s="28"/>
      <c r="J100" s="28"/>
      <c r="K100" s="28"/>
      <c r="L100" s="28"/>
      <c r="M100" s="28"/>
    </row>
    <row r="101" customFormat="false" ht="30" hidden="false" customHeight="true" outlineLevel="0" collapsed="false">
      <c r="A101" s="28"/>
      <c r="B101" s="30"/>
      <c r="C101" s="28"/>
      <c r="D101" s="28"/>
      <c r="E101" s="28"/>
      <c r="F101" s="28"/>
      <c r="G101" s="28"/>
      <c r="H101" s="28"/>
      <c r="I101" s="28"/>
      <c r="J101" s="28"/>
      <c r="K101" s="28"/>
      <c r="L101" s="28"/>
      <c r="M101" s="28"/>
    </row>
    <row r="102" customFormat="false" ht="30" hidden="false" customHeight="true" outlineLevel="0" collapsed="false">
      <c r="A102" s="28"/>
      <c r="B102" s="30"/>
      <c r="C102" s="28"/>
      <c r="D102" s="28"/>
      <c r="E102" s="28"/>
      <c r="F102" s="28"/>
      <c r="G102" s="28"/>
      <c r="H102" s="28"/>
      <c r="I102" s="28"/>
      <c r="J102" s="28"/>
      <c r="K102" s="28"/>
      <c r="L102" s="28"/>
      <c r="M102" s="28"/>
    </row>
    <row r="103" customFormat="false" ht="30" hidden="false" customHeight="true" outlineLevel="0" collapsed="false">
      <c r="A103" s="28"/>
      <c r="B103" s="30"/>
      <c r="C103" s="28"/>
      <c r="D103" s="28"/>
      <c r="E103" s="28"/>
      <c r="F103" s="28"/>
      <c r="G103" s="28"/>
      <c r="H103" s="28"/>
      <c r="I103" s="28"/>
      <c r="J103" s="28"/>
      <c r="K103" s="28"/>
      <c r="L103" s="28"/>
      <c r="M103" s="28"/>
    </row>
    <row r="104" customFormat="false" ht="30" hidden="false" customHeight="true" outlineLevel="0" collapsed="false">
      <c r="A104" s="28"/>
      <c r="B104" s="30"/>
      <c r="C104" s="28"/>
      <c r="D104" s="28"/>
      <c r="E104" s="28"/>
      <c r="F104" s="28"/>
      <c r="G104" s="28"/>
      <c r="H104" s="28"/>
      <c r="I104" s="28"/>
      <c r="J104" s="28"/>
      <c r="K104" s="28"/>
      <c r="L104" s="28"/>
      <c r="M104" s="28"/>
    </row>
    <row r="105" customFormat="false" ht="30" hidden="false" customHeight="true" outlineLevel="0" collapsed="false">
      <c r="A105" s="28"/>
      <c r="B105" s="30"/>
      <c r="C105" s="28"/>
      <c r="D105" s="28"/>
      <c r="E105" s="28"/>
      <c r="F105" s="28"/>
      <c r="G105" s="28"/>
      <c r="H105" s="28"/>
      <c r="I105" s="28"/>
      <c r="J105" s="28"/>
      <c r="K105" s="28"/>
      <c r="L105" s="28"/>
      <c r="M105" s="28"/>
    </row>
    <row r="106" customFormat="false" ht="30" hidden="false" customHeight="true" outlineLevel="0" collapsed="false">
      <c r="A106" s="28"/>
      <c r="B106" s="30"/>
      <c r="C106" s="28"/>
      <c r="D106" s="28"/>
      <c r="E106" s="28"/>
      <c r="F106" s="28"/>
      <c r="G106" s="28"/>
      <c r="H106" s="28"/>
      <c r="I106" s="28"/>
      <c r="J106" s="28"/>
      <c r="K106" s="28"/>
      <c r="L106" s="28"/>
      <c r="M106" s="28"/>
    </row>
  </sheetData>
  <autoFilter ref="A5:M106"/>
  <conditionalFormatting sqref="M7:M106">
    <cfRule type="cellIs" priority="2" operator="equal" aboveAverage="0" equalAverage="0" bottom="0" percent="0" rank="0" text="" dxfId="14">
      <formula>"Yes"</formula>
    </cfRule>
    <cfRule type="cellIs" priority="3" operator="equal" aboveAverage="0" equalAverage="0" bottom="0" percent="0" rank="0" text="" dxfId="15">
      <formula>"No"</formula>
    </cfRule>
  </conditionalFormatting>
  <dataValidations count="2">
    <dataValidation allowBlank="true" error="Pick a value from the dropdown list." errorStyle="stop" errorTitle="Invalid value" operator="between" showDropDown="false" showErrorMessage="true" showInputMessage="false" sqref="C7:C106" type="list">
      <formula1>"Setup,P1,P2,P3,P4,P5"</formula1>
      <formula2>0</formula2>
    </dataValidation>
    <dataValidation allowBlank="true" error="Pick a value from the dropdown list." errorStyle="stop" errorTitle="Invalid value" operator="between" showDropDown="false" showErrorMessage="true" showInputMessage="false" sqref="M7:M106" type="list">
      <formula1>"Yes,No,Partly"</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2"/>
    <col collapsed="false" customWidth="true" hidden="false" outlineLevel="0" max="4" min="4" style="0" width="44"/>
    <col collapsed="false" customWidth="true" hidden="false" outlineLevel="0" max="6" min="5" style="0" width="13"/>
    <col collapsed="false" customWidth="true" hidden="false" outlineLevel="0" max="8" min="7" style="0" width="11"/>
    <col collapsed="false" customWidth="true" hidden="false" outlineLevel="0" max="9" min="9" style="0" width="30"/>
    <col collapsed="false" customWidth="true" hidden="false" outlineLevel="0" max="10" min="10" style="0" width="34"/>
    <col collapsed="false" customWidth="true" hidden="false" outlineLevel="0" max="11" min="11" style="0" width="13"/>
    <col collapsed="false" customWidth="true" hidden="false" outlineLevel="0" max="12" min="12" style="0" width="30"/>
    <col collapsed="false" customWidth="true" hidden="false" outlineLevel="0" max="13" min="13" style="0" width="13"/>
  </cols>
  <sheetData>
    <row r="1" customFormat="false" ht="25.5" hidden="false" customHeight="true" outlineLevel="0" collapsed="false">
      <c r="A1" s="1" t="s">
        <v>1219</v>
      </c>
    </row>
    <row r="2" customFormat="false" ht="15" hidden="false" customHeight="false" outlineLevel="0" collapsed="false">
      <c r="A2" s="2" t="s">
        <v>1220</v>
      </c>
    </row>
    <row r="5" customFormat="false" ht="30" hidden="false" customHeight="true" outlineLevel="0" collapsed="false">
      <c r="A5" s="6" t="s">
        <v>125</v>
      </c>
      <c r="B5" s="6" t="s">
        <v>1221</v>
      </c>
      <c r="C5" s="6" t="s">
        <v>1222</v>
      </c>
      <c r="D5" s="6" t="s">
        <v>1223</v>
      </c>
      <c r="E5" s="6" t="s">
        <v>1224</v>
      </c>
      <c r="F5" s="6" t="s">
        <v>1225</v>
      </c>
      <c r="G5" s="6" t="s">
        <v>1226</v>
      </c>
      <c r="H5" s="6" t="s">
        <v>1227</v>
      </c>
      <c r="I5" s="6" t="s">
        <v>1228</v>
      </c>
      <c r="J5" s="6" t="s">
        <v>1229</v>
      </c>
      <c r="K5" s="6" t="s">
        <v>1230</v>
      </c>
      <c r="L5" s="6" t="s">
        <v>1231</v>
      </c>
      <c r="M5" s="6" t="s">
        <v>128</v>
      </c>
    </row>
    <row r="6" customFormat="false" ht="31.5" hidden="false" customHeight="true" outlineLevel="0" collapsed="false">
      <c r="A6" s="32" t="s">
        <v>1232</v>
      </c>
      <c r="B6" s="32" t="s">
        <v>1233</v>
      </c>
      <c r="C6" s="32" t="s">
        <v>1234</v>
      </c>
      <c r="D6" s="32" t="s">
        <v>1235</v>
      </c>
      <c r="E6" s="33" t="n">
        <v>206209</v>
      </c>
      <c r="F6" s="33" t="n">
        <v>3421083</v>
      </c>
      <c r="G6" s="37" t="n">
        <f aca="false">IF(AND(ISNUMBER(E6),ISNUMBER(F6),F6&gt;0),E6/F6,"")</f>
        <v>0.0602759418581777</v>
      </c>
      <c r="H6" s="32" t="s">
        <v>1236</v>
      </c>
      <c r="I6" s="32" t="s">
        <v>1237</v>
      </c>
      <c r="J6" s="32" t="s">
        <v>1238</v>
      </c>
      <c r="K6" s="32" t="s">
        <v>1239</v>
      </c>
      <c r="L6" s="32" t="s">
        <v>1240</v>
      </c>
      <c r="M6" s="32" t="s">
        <v>47</v>
      </c>
    </row>
    <row r="7" customFormat="false" ht="30" hidden="false" customHeight="true" outlineLevel="0" collapsed="false">
      <c r="A7" s="17" t="s">
        <v>1241</v>
      </c>
      <c r="B7" s="17" t="s">
        <v>1233</v>
      </c>
      <c r="C7" s="17" t="s">
        <v>1242</v>
      </c>
      <c r="D7" s="17" t="s">
        <v>1243</v>
      </c>
      <c r="E7" s="35"/>
      <c r="F7" s="35"/>
      <c r="G7" s="38" t="str">
        <f aca="false">IF(AND(ISNUMBER(E7),ISNUMBER(F7),F7&gt;0),E7/F7,"")</f>
        <v/>
      </c>
      <c r="H7" s="28" t="s">
        <v>1244</v>
      </c>
      <c r="I7" s="28" t="s">
        <v>1245</v>
      </c>
      <c r="J7" s="28" t="s">
        <v>1246</v>
      </c>
      <c r="K7" s="28" t="s">
        <v>1239</v>
      </c>
      <c r="L7" s="28"/>
      <c r="M7" s="28" t="s">
        <v>1247</v>
      </c>
    </row>
    <row r="8" customFormat="false" ht="30.75" hidden="false" customHeight="true" outlineLevel="0" collapsed="false">
      <c r="A8" s="17" t="s">
        <v>1248</v>
      </c>
      <c r="B8" s="17" t="s">
        <v>1249</v>
      </c>
      <c r="C8" s="17" t="s">
        <v>1250</v>
      </c>
      <c r="D8" s="17" t="s">
        <v>1251</v>
      </c>
      <c r="E8" s="35"/>
      <c r="F8" s="35"/>
      <c r="G8" s="38" t="str">
        <f aca="false">IF(AND(ISNUMBER(E8),ISNUMBER(F8),F8&gt;0),E8/F8,"")</f>
        <v/>
      </c>
      <c r="H8" s="28" t="s">
        <v>1244</v>
      </c>
      <c r="I8" s="28" t="s">
        <v>1252</v>
      </c>
      <c r="J8" s="28" t="s">
        <v>1253</v>
      </c>
      <c r="K8" s="28" t="s">
        <v>1254</v>
      </c>
      <c r="L8" s="28"/>
      <c r="M8" s="28" t="s">
        <v>1247</v>
      </c>
    </row>
    <row r="9" customFormat="false" ht="30" hidden="false" customHeight="true" outlineLevel="0" collapsed="false">
      <c r="A9" s="17" t="s">
        <v>1255</v>
      </c>
      <c r="B9" s="17" t="s">
        <v>1233</v>
      </c>
      <c r="C9" s="17" t="s">
        <v>1234</v>
      </c>
      <c r="D9" s="17" t="s">
        <v>1235</v>
      </c>
      <c r="E9" s="35"/>
      <c r="F9" s="35"/>
      <c r="G9" s="38" t="str">
        <f aca="false">IF(AND(ISNUMBER(E9),ISNUMBER(F9),F9&gt;0),E9/F9,"")</f>
        <v/>
      </c>
      <c r="H9" s="28" t="s">
        <v>1236</v>
      </c>
      <c r="I9" s="28" t="s">
        <v>1237</v>
      </c>
      <c r="J9" s="28" t="s">
        <v>1238</v>
      </c>
      <c r="K9" s="28" t="s">
        <v>1239</v>
      </c>
      <c r="L9" s="28"/>
      <c r="M9" s="28" t="s">
        <v>1247</v>
      </c>
    </row>
    <row r="10" customFormat="false" ht="30.75" hidden="false" customHeight="true" outlineLevel="0" collapsed="false">
      <c r="A10" s="17" t="s">
        <v>1256</v>
      </c>
      <c r="B10" s="17" t="s">
        <v>1233</v>
      </c>
      <c r="C10" s="17" t="s">
        <v>1234</v>
      </c>
      <c r="D10" s="17" t="s">
        <v>1257</v>
      </c>
      <c r="E10" s="35"/>
      <c r="F10" s="35"/>
      <c r="G10" s="38" t="str">
        <f aca="false">IF(AND(ISNUMBER(E10),ISNUMBER(F10),F10&gt;0),E10/F10,"")</f>
        <v/>
      </c>
      <c r="H10" s="28" t="s">
        <v>1244</v>
      </c>
      <c r="I10" s="28" t="s">
        <v>1258</v>
      </c>
      <c r="J10" s="28" t="s">
        <v>1259</v>
      </c>
      <c r="K10" s="28" t="s">
        <v>1260</v>
      </c>
      <c r="L10" s="28"/>
      <c r="M10" s="28" t="s">
        <v>1247</v>
      </c>
    </row>
    <row r="11" customFormat="false" ht="30.75" hidden="false" customHeight="true" outlineLevel="0" collapsed="false">
      <c r="A11" s="17" t="s">
        <v>1261</v>
      </c>
      <c r="B11" s="17" t="s">
        <v>1233</v>
      </c>
      <c r="C11" s="17" t="s">
        <v>1262</v>
      </c>
      <c r="D11" s="17" t="s">
        <v>1263</v>
      </c>
      <c r="E11" s="35"/>
      <c r="F11" s="35"/>
      <c r="G11" s="38" t="str">
        <f aca="false">IF(AND(ISNUMBER(E11),ISNUMBER(F11),F11&gt;0),E11/F11,"")</f>
        <v/>
      </c>
      <c r="H11" s="28" t="s">
        <v>1264</v>
      </c>
      <c r="I11" s="28" t="s">
        <v>1265</v>
      </c>
      <c r="J11" s="28" t="s">
        <v>1266</v>
      </c>
      <c r="K11" s="28" t="s">
        <v>1267</v>
      </c>
      <c r="L11" s="28"/>
      <c r="M11" s="28" t="s">
        <v>1247</v>
      </c>
    </row>
    <row r="12" customFormat="false" ht="30" hidden="false" customHeight="true" outlineLevel="0" collapsed="false">
      <c r="A12" s="17" t="s">
        <v>1268</v>
      </c>
      <c r="B12" s="17" t="s">
        <v>1269</v>
      </c>
      <c r="C12" s="17" t="s">
        <v>1270</v>
      </c>
      <c r="D12" s="17" t="s">
        <v>1271</v>
      </c>
      <c r="E12" s="35"/>
      <c r="F12" s="35"/>
      <c r="G12" s="38" t="str">
        <f aca="false">IF(AND(ISNUMBER(E12),ISNUMBER(F12),F12&gt;0),E12/F12,"")</f>
        <v/>
      </c>
      <c r="H12" s="28" t="s">
        <v>1244</v>
      </c>
      <c r="I12" s="28" t="s">
        <v>1272</v>
      </c>
      <c r="J12" s="28" t="s">
        <v>1273</v>
      </c>
      <c r="K12" s="28" t="s">
        <v>1239</v>
      </c>
      <c r="L12" s="28"/>
      <c r="M12" s="28" t="s">
        <v>1247</v>
      </c>
    </row>
    <row r="13" customFormat="false" ht="30.75" hidden="false" customHeight="true" outlineLevel="0" collapsed="false">
      <c r="A13" s="17" t="s">
        <v>1274</v>
      </c>
      <c r="B13" s="17" t="s">
        <v>1269</v>
      </c>
      <c r="C13" s="17" t="s">
        <v>1275</v>
      </c>
      <c r="D13" s="17" t="s">
        <v>1276</v>
      </c>
      <c r="E13" s="35"/>
      <c r="F13" s="35"/>
      <c r="G13" s="38" t="str">
        <f aca="false">IF(AND(ISNUMBER(E13),ISNUMBER(F13),F13&gt;0),E13/F13,"")</f>
        <v/>
      </c>
      <c r="H13" s="28" t="s">
        <v>1236</v>
      </c>
      <c r="I13" s="28" t="s">
        <v>1277</v>
      </c>
      <c r="J13" s="28" t="s">
        <v>1278</v>
      </c>
      <c r="K13" s="28" t="s">
        <v>1279</v>
      </c>
      <c r="L13" s="28"/>
      <c r="M13" s="28" t="s">
        <v>1247</v>
      </c>
    </row>
    <row r="14" customFormat="false" ht="30" hidden="false" customHeight="true" outlineLevel="0" collapsed="false">
      <c r="A14" s="17" t="s">
        <v>1280</v>
      </c>
      <c r="B14" s="17" t="s">
        <v>1249</v>
      </c>
      <c r="C14" s="17" t="s">
        <v>1250</v>
      </c>
      <c r="D14" s="17" t="s">
        <v>1281</v>
      </c>
      <c r="E14" s="35"/>
      <c r="F14" s="35"/>
      <c r="G14" s="38" t="str">
        <f aca="false">IF(AND(ISNUMBER(E14),ISNUMBER(F14),F14&gt;0),E14/F14,"")</f>
        <v/>
      </c>
      <c r="H14" s="28" t="s">
        <v>1236</v>
      </c>
      <c r="I14" s="28" t="s">
        <v>1282</v>
      </c>
      <c r="J14" s="28" t="s">
        <v>1283</v>
      </c>
      <c r="K14" s="28" t="s">
        <v>1260</v>
      </c>
      <c r="L14" s="28"/>
      <c r="M14" s="28" t="s">
        <v>1247</v>
      </c>
    </row>
    <row r="15" customFormat="false" ht="30.75" hidden="false" customHeight="true" outlineLevel="0" collapsed="false">
      <c r="A15" s="17" t="s">
        <v>1284</v>
      </c>
      <c r="B15" s="17" t="s">
        <v>1249</v>
      </c>
      <c r="C15" s="17" t="s">
        <v>1285</v>
      </c>
      <c r="D15" s="17" t="s">
        <v>1286</v>
      </c>
      <c r="E15" s="35"/>
      <c r="F15" s="35"/>
      <c r="G15" s="38" t="str">
        <f aca="false">IF(AND(ISNUMBER(E15),ISNUMBER(F15),F15&gt;0),E15/F15,"")</f>
        <v/>
      </c>
      <c r="H15" s="28" t="s">
        <v>1244</v>
      </c>
      <c r="I15" s="28" t="s">
        <v>1287</v>
      </c>
      <c r="J15" s="28" t="s">
        <v>1288</v>
      </c>
      <c r="K15" s="28" t="s">
        <v>1239</v>
      </c>
      <c r="L15" s="28"/>
      <c r="M15" s="28" t="s">
        <v>1247</v>
      </c>
    </row>
    <row r="16" customFormat="false" ht="30.75" hidden="false" customHeight="true" outlineLevel="0" collapsed="false">
      <c r="A16" s="17" t="s">
        <v>1289</v>
      </c>
      <c r="B16" s="17" t="s">
        <v>1233</v>
      </c>
      <c r="C16" s="17" t="s">
        <v>1290</v>
      </c>
      <c r="D16" s="17" t="s">
        <v>1291</v>
      </c>
      <c r="E16" s="35"/>
      <c r="F16" s="35"/>
      <c r="G16" s="38" t="str">
        <f aca="false">IF(AND(ISNUMBER(E16),ISNUMBER(F16),F16&gt;0),E16/F16,"")</f>
        <v/>
      </c>
      <c r="H16" s="28" t="s">
        <v>1244</v>
      </c>
      <c r="I16" s="28" t="s">
        <v>1292</v>
      </c>
      <c r="J16" s="28" t="s">
        <v>1293</v>
      </c>
      <c r="K16" s="28" t="s">
        <v>1239</v>
      </c>
      <c r="L16" s="28"/>
      <c r="M16" s="28" t="s">
        <v>1247</v>
      </c>
    </row>
    <row r="17" customFormat="false" ht="30.75" hidden="false" customHeight="true" outlineLevel="0" collapsed="false">
      <c r="A17" s="17" t="s">
        <v>1294</v>
      </c>
      <c r="B17" s="17" t="s">
        <v>1295</v>
      </c>
      <c r="C17" s="17" t="s">
        <v>1296</v>
      </c>
      <c r="D17" s="17" t="s">
        <v>1297</v>
      </c>
      <c r="E17" s="35"/>
      <c r="F17" s="35"/>
      <c r="G17" s="38" t="str">
        <f aca="false">IF(AND(ISNUMBER(E17),ISNUMBER(F17),F17&gt;0),E17/F17,"")</f>
        <v/>
      </c>
      <c r="H17" s="28" t="s">
        <v>1264</v>
      </c>
      <c r="I17" s="28" t="s">
        <v>1265</v>
      </c>
      <c r="J17" s="28" t="s">
        <v>1298</v>
      </c>
      <c r="K17" s="28" t="s">
        <v>1267</v>
      </c>
      <c r="L17" s="28"/>
      <c r="M17" s="28" t="s">
        <v>1247</v>
      </c>
    </row>
    <row r="18" customFormat="false" ht="24" hidden="false" customHeight="true" outlineLevel="0" collapsed="false">
      <c r="A18" s="28"/>
      <c r="B18" s="28"/>
      <c r="C18" s="28"/>
      <c r="D18" s="28"/>
      <c r="E18" s="35"/>
      <c r="F18" s="35"/>
      <c r="G18" s="38" t="str">
        <f aca="false">IF(AND(ISNUMBER(E18),ISNUMBER(F18),F18&gt;0),E18/F18,"")</f>
        <v/>
      </c>
      <c r="H18" s="28"/>
      <c r="I18" s="28"/>
      <c r="J18" s="28"/>
      <c r="K18" s="28"/>
      <c r="L18" s="28"/>
      <c r="M18" s="28"/>
    </row>
    <row r="19" customFormat="false" ht="24" hidden="false" customHeight="true" outlineLevel="0" collapsed="false">
      <c r="A19" s="28"/>
      <c r="B19" s="28"/>
      <c r="C19" s="28"/>
      <c r="D19" s="28"/>
      <c r="E19" s="35"/>
      <c r="F19" s="35"/>
      <c r="G19" s="38" t="str">
        <f aca="false">IF(AND(ISNUMBER(E19),ISNUMBER(F19),F19&gt;0),E19/F19,"")</f>
        <v/>
      </c>
      <c r="H19" s="28"/>
      <c r="I19" s="28"/>
      <c r="J19" s="28"/>
      <c r="K19" s="28"/>
      <c r="L19" s="28"/>
      <c r="M19" s="28"/>
    </row>
    <row r="20" customFormat="false" ht="24" hidden="false" customHeight="true" outlineLevel="0" collapsed="false">
      <c r="A20" s="28"/>
      <c r="B20" s="28"/>
      <c r="C20" s="28"/>
      <c r="D20" s="28"/>
      <c r="E20" s="35"/>
      <c r="F20" s="35"/>
      <c r="G20" s="38" t="str">
        <f aca="false">IF(AND(ISNUMBER(E20),ISNUMBER(F20),F20&gt;0),E20/F20,"")</f>
        <v/>
      </c>
      <c r="H20" s="28"/>
      <c r="I20" s="28"/>
      <c r="J20" s="28"/>
      <c r="K20" s="28"/>
      <c r="L20" s="28"/>
      <c r="M20" s="28"/>
    </row>
    <row r="21" customFormat="false" ht="24" hidden="false" customHeight="true" outlineLevel="0" collapsed="false">
      <c r="A21" s="28"/>
      <c r="B21" s="28"/>
      <c r="C21" s="28"/>
      <c r="D21" s="28"/>
      <c r="E21" s="35"/>
      <c r="F21" s="35"/>
      <c r="G21" s="38" t="str">
        <f aca="false">IF(AND(ISNUMBER(E21),ISNUMBER(F21),F21&gt;0),E21/F21,"")</f>
        <v/>
      </c>
      <c r="H21" s="28"/>
      <c r="I21" s="28"/>
      <c r="J21" s="28"/>
      <c r="K21" s="28"/>
      <c r="L21" s="28"/>
      <c r="M21" s="28"/>
    </row>
    <row r="22" customFormat="false" ht="24" hidden="false" customHeight="true" outlineLevel="0" collapsed="false">
      <c r="A22" s="28"/>
      <c r="B22" s="28"/>
      <c r="C22" s="28"/>
      <c r="D22" s="28"/>
      <c r="E22" s="35"/>
      <c r="F22" s="35"/>
      <c r="G22" s="38" t="str">
        <f aca="false">IF(AND(ISNUMBER(E22),ISNUMBER(F22),F22&gt;0),E22/F22,"")</f>
        <v/>
      </c>
      <c r="H22" s="28"/>
      <c r="I22" s="28"/>
      <c r="J22" s="28"/>
      <c r="K22" s="28"/>
      <c r="L22" s="28"/>
      <c r="M22" s="28"/>
    </row>
    <row r="23" customFormat="false" ht="24" hidden="false" customHeight="true" outlineLevel="0" collapsed="false">
      <c r="A23" s="28"/>
      <c r="B23" s="28"/>
      <c r="C23" s="28"/>
      <c r="D23" s="28"/>
      <c r="E23" s="35"/>
      <c r="F23" s="35"/>
      <c r="G23" s="38" t="str">
        <f aca="false">IF(AND(ISNUMBER(E23),ISNUMBER(F23),F23&gt;0),E23/F23,"")</f>
        <v/>
      </c>
      <c r="H23" s="28"/>
      <c r="I23" s="28"/>
      <c r="J23" s="28"/>
      <c r="K23" s="28"/>
      <c r="L23" s="28"/>
      <c r="M23" s="28"/>
    </row>
    <row r="24" customFormat="false" ht="24" hidden="false" customHeight="true" outlineLevel="0" collapsed="false">
      <c r="A24" s="28"/>
      <c r="B24" s="28"/>
      <c r="C24" s="28"/>
      <c r="D24" s="28"/>
      <c r="E24" s="35"/>
      <c r="F24" s="35"/>
      <c r="G24" s="38" t="str">
        <f aca="false">IF(AND(ISNUMBER(E24),ISNUMBER(F24),F24&gt;0),E24/F24,"")</f>
        <v/>
      </c>
      <c r="H24" s="28"/>
      <c r="I24" s="28"/>
      <c r="J24" s="28"/>
      <c r="K24" s="28"/>
      <c r="L24" s="28"/>
      <c r="M24" s="28"/>
    </row>
    <row r="25" customFormat="false" ht="24" hidden="false" customHeight="true" outlineLevel="0" collapsed="false">
      <c r="A25" s="28"/>
      <c r="B25" s="28"/>
      <c r="C25" s="28"/>
      <c r="D25" s="28"/>
      <c r="E25" s="35"/>
      <c r="F25" s="35"/>
      <c r="G25" s="38" t="str">
        <f aca="false">IF(AND(ISNUMBER(E25),ISNUMBER(F25),F25&gt;0),E25/F25,"")</f>
        <v/>
      </c>
      <c r="H25" s="28"/>
      <c r="I25" s="28"/>
      <c r="J25" s="28"/>
      <c r="K25" s="28"/>
      <c r="L25" s="28"/>
      <c r="M25" s="28"/>
    </row>
    <row r="26" customFormat="false" ht="24" hidden="false" customHeight="true" outlineLevel="0" collapsed="false">
      <c r="A26" s="28"/>
      <c r="B26" s="28"/>
      <c r="C26" s="28"/>
      <c r="D26" s="28"/>
      <c r="E26" s="35"/>
      <c r="F26" s="35"/>
      <c r="G26" s="38" t="str">
        <f aca="false">IF(AND(ISNUMBER(E26),ISNUMBER(F26),F26&gt;0),E26/F26,"")</f>
        <v/>
      </c>
      <c r="H26" s="28"/>
      <c r="I26" s="28"/>
      <c r="J26" s="28"/>
      <c r="K26" s="28"/>
      <c r="L26" s="28"/>
      <c r="M26" s="28"/>
    </row>
    <row r="27" customFormat="false" ht="24" hidden="false" customHeight="true" outlineLevel="0" collapsed="false">
      <c r="A27" s="28"/>
      <c r="B27" s="28"/>
      <c r="C27" s="28"/>
      <c r="D27" s="28"/>
      <c r="E27" s="35"/>
      <c r="F27" s="35"/>
      <c r="G27" s="38" t="str">
        <f aca="false">IF(AND(ISNUMBER(E27),ISNUMBER(F27),F27&gt;0),E27/F27,"")</f>
        <v/>
      </c>
      <c r="H27" s="28"/>
      <c r="I27" s="28"/>
      <c r="J27" s="28"/>
      <c r="K27" s="28"/>
      <c r="L27" s="28"/>
      <c r="M27" s="28"/>
    </row>
    <row r="28" customFormat="false" ht="24" hidden="false" customHeight="true" outlineLevel="0" collapsed="false">
      <c r="A28" s="28"/>
      <c r="B28" s="28"/>
      <c r="C28" s="28"/>
      <c r="D28" s="28"/>
      <c r="E28" s="35"/>
      <c r="F28" s="35"/>
      <c r="G28" s="38" t="str">
        <f aca="false">IF(AND(ISNUMBER(E28),ISNUMBER(F28),F28&gt;0),E28/F28,"")</f>
        <v/>
      </c>
      <c r="H28" s="28"/>
      <c r="I28" s="28"/>
      <c r="J28" s="28"/>
      <c r="K28" s="28"/>
      <c r="L28" s="28"/>
      <c r="M28" s="28"/>
    </row>
    <row r="29" customFormat="false" ht="24" hidden="false" customHeight="true" outlineLevel="0" collapsed="false">
      <c r="A29" s="28"/>
      <c r="B29" s="28"/>
      <c r="C29" s="28"/>
      <c r="D29" s="28"/>
      <c r="E29" s="35"/>
      <c r="F29" s="35"/>
      <c r="G29" s="38" t="str">
        <f aca="false">IF(AND(ISNUMBER(E29),ISNUMBER(F29),F29&gt;0),E29/F29,"")</f>
        <v/>
      </c>
      <c r="H29" s="28"/>
      <c r="I29" s="28"/>
      <c r="J29" s="28"/>
      <c r="K29" s="28"/>
      <c r="L29" s="28"/>
      <c r="M29" s="28"/>
    </row>
    <row r="30" customFormat="false" ht="24" hidden="false" customHeight="true" outlineLevel="0" collapsed="false">
      <c r="A30" s="28"/>
      <c r="B30" s="28"/>
      <c r="C30" s="28"/>
      <c r="D30" s="28"/>
      <c r="E30" s="35"/>
      <c r="F30" s="35"/>
      <c r="G30" s="38" t="str">
        <f aca="false">IF(AND(ISNUMBER(E30),ISNUMBER(F30),F30&gt;0),E30/F30,"")</f>
        <v/>
      </c>
      <c r="H30" s="28"/>
      <c r="I30" s="28"/>
      <c r="J30" s="28"/>
      <c r="K30" s="28"/>
      <c r="L30" s="28"/>
      <c r="M30" s="28"/>
    </row>
    <row r="31" customFormat="false" ht="24" hidden="false" customHeight="true" outlineLevel="0" collapsed="false">
      <c r="A31" s="28"/>
      <c r="B31" s="28"/>
      <c r="C31" s="28"/>
      <c r="D31" s="28"/>
      <c r="E31" s="35"/>
      <c r="F31" s="35"/>
      <c r="G31" s="38" t="str">
        <f aca="false">IF(AND(ISNUMBER(E31),ISNUMBER(F31),F31&gt;0),E31/F31,"")</f>
        <v/>
      </c>
      <c r="H31" s="28"/>
      <c r="I31" s="28"/>
      <c r="J31" s="28"/>
      <c r="K31" s="28"/>
      <c r="L31" s="28"/>
      <c r="M31" s="28"/>
    </row>
    <row r="32" customFormat="false" ht="24" hidden="false" customHeight="true" outlineLevel="0" collapsed="false">
      <c r="A32" s="28"/>
      <c r="B32" s="28"/>
      <c r="C32" s="28"/>
      <c r="D32" s="28"/>
      <c r="E32" s="35"/>
      <c r="F32" s="35"/>
      <c r="G32" s="38" t="str">
        <f aca="false">IF(AND(ISNUMBER(E32),ISNUMBER(F32),F32&gt;0),E32/F32,"")</f>
        <v/>
      </c>
      <c r="H32" s="28"/>
      <c r="I32" s="28"/>
      <c r="J32" s="28"/>
      <c r="K32" s="28"/>
      <c r="L32" s="28"/>
      <c r="M32" s="28"/>
    </row>
    <row r="33" customFormat="false" ht="24" hidden="false" customHeight="true" outlineLevel="0" collapsed="false">
      <c r="A33" s="28"/>
      <c r="B33" s="28"/>
      <c r="C33" s="28"/>
      <c r="D33" s="28"/>
      <c r="E33" s="35"/>
      <c r="F33" s="35"/>
      <c r="G33" s="38" t="str">
        <f aca="false">IF(AND(ISNUMBER(E33),ISNUMBER(F33),F33&gt;0),E33/F33,"")</f>
        <v/>
      </c>
      <c r="H33" s="28"/>
      <c r="I33" s="28"/>
      <c r="J33" s="28"/>
      <c r="K33" s="28"/>
      <c r="L33" s="28"/>
      <c r="M33" s="28"/>
    </row>
    <row r="34" customFormat="false" ht="24" hidden="false" customHeight="true" outlineLevel="0" collapsed="false">
      <c r="A34" s="28"/>
      <c r="B34" s="28"/>
      <c r="C34" s="28"/>
      <c r="D34" s="28"/>
      <c r="E34" s="35"/>
      <c r="F34" s="35"/>
      <c r="G34" s="38" t="str">
        <f aca="false">IF(AND(ISNUMBER(E34),ISNUMBER(F34),F34&gt;0),E34/F34,"")</f>
        <v/>
      </c>
      <c r="H34" s="28"/>
      <c r="I34" s="28"/>
      <c r="J34" s="28"/>
      <c r="K34" s="28"/>
      <c r="L34" s="28"/>
      <c r="M34" s="28"/>
    </row>
    <row r="35" customFormat="false" ht="24" hidden="false" customHeight="true" outlineLevel="0" collapsed="false">
      <c r="A35" s="28"/>
      <c r="B35" s="28"/>
      <c r="C35" s="28"/>
      <c r="D35" s="28"/>
      <c r="E35" s="35"/>
      <c r="F35" s="35"/>
      <c r="G35" s="38" t="str">
        <f aca="false">IF(AND(ISNUMBER(E35),ISNUMBER(F35),F35&gt;0),E35/F35,"")</f>
        <v/>
      </c>
      <c r="H35" s="28"/>
      <c r="I35" s="28"/>
      <c r="J35" s="28"/>
      <c r="K35" s="28"/>
      <c r="L35" s="28"/>
      <c r="M35" s="28"/>
    </row>
    <row r="36" customFormat="false" ht="24" hidden="false" customHeight="true" outlineLevel="0" collapsed="false">
      <c r="A36" s="28"/>
      <c r="B36" s="28"/>
      <c r="C36" s="28"/>
      <c r="D36" s="28"/>
      <c r="E36" s="35"/>
      <c r="F36" s="35"/>
      <c r="G36" s="38" t="str">
        <f aca="false">IF(AND(ISNUMBER(E36),ISNUMBER(F36),F36&gt;0),E36/F36,"")</f>
        <v/>
      </c>
      <c r="H36" s="28"/>
      <c r="I36" s="28"/>
      <c r="J36" s="28"/>
      <c r="K36" s="28"/>
      <c r="L36" s="28"/>
      <c r="M36" s="28"/>
    </row>
    <row r="37" customFormat="false" ht="24" hidden="false" customHeight="true" outlineLevel="0" collapsed="false">
      <c r="A37" s="28"/>
      <c r="B37" s="28"/>
      <c r="C37" s="28"/>
      <c r="D37" s="28"/>
      <c r="E37" s="35"/>
      <c r="F37" s="35"/>
      <c r="G37" s="38" t="str">
        <f aca="false">IF(AND(ISNUMBER(E37),ISNUMBER(F37),F37&gt;0),E37/F37,"")</f>
        <v/>
      </c>
      <c r="H37" s="28"/>
      <c r="I37" s="28"/>
      <c r="J37" s="28"/>
      <c r="K37" s="28"/>
      <c r="L37" s="28"/>
      <c r="M37" s="28"/>
    </row>
    <row r="38" customFormat="false" ht="24" hidden="false" customHeight="true" outlineLevel="0" collapsed="false">
      <c r="A38" s="28"/>
      <c r="B38" s="28"/>
      <c r="C38" s="28"/>
      <c r="D38" s="28"/>
      <c r="E38" s="35"/>
      <c r="F38" s="35"/>
      <c r="G38" s="38" t="str">
        <f aca="false">IF(AND(ISNUMBER(E38),ISNUMBER(F38),F38&gt;0),E38/F38,"")</f>
        <v/>
      </c>
      <c r="H38" s="28"/>
      <c r="I38" s="28"/>
      <c r="J38" s="28"/>
      <c r="K38" s="28"/>
      <c r="L38" s="28"/>
      <c r="M38" s="28"/>
    </row>
    <row r="39" customFormat="false" ht="24" hidden="false" customHeight="true" outlineLevel="0" collapsed="false">
      <c r="A39" s="28"/>
      <c r="B39" s="28"/>
      <c r="C39" s="28"/>
      <c r="D39" s="28"/>
      <c r="E39" s="35"/>
      <c r="F39" s="35"/>
      <c r="G39" s="38" t="str">
        <f aca="false">IF(AND(ISNUMBER(E39),ISNUMBER(F39),F39&gt;0),E39/F39,"")</f>
        <v/>
      </c>
      <c r="H39" s="28"/>
      <c r="I39" s="28"/>
      <c r="J39" s="28"/>
      <c r="K39" s="28"/>
      <c r="L39" s="28"/>
      <c r="M39" s="28"/>
    </row>
    <row r="40" customFormat="false" ht="24" hidden="false" customHeight="true" outlineLevel="0" collapsed="false">
      <c r="A40" s="28"/>
      <c r="B40" s="28"/>
      <c r="C40" s="28"/>
      <c r="D40" s="28"/>
      <c r="E40" s="35"/>
      <c r="F40" s="35"/>
      <c r="G40" s="38" t="str">
        <f aca="false">IF(AND(ISNUMBER(E40),ISNUMBER(F40),F40&gt;0),E40/F40,"")</f>
        <v/>
      </c>
      <c r="H40" s="28"/>
      <c r="I40" s="28"/>
      <c r="J40" s="28"/>
      <c r="K40" s="28"/>
      <c r="L40" s="28"/>
      <c r="M40" s="28"/>
    </row>
    <row r="41" customFormat="false" ht="24" hidden="false" customHeight="true" outlineLevel="0" collapsed="false">
      <c r="A41" s="28"/>
      <c r="B41" s="28"/>
      <c r="C41" s="28"/>
      <c r="D41" s="28"/>
      <c r="E41" s="35"/>
      <c r="F41" s="35"/>
      <c r="G41" s="38" t="str">
        <f aca="false">IF(AND(ISNUMBER(E41),ISNUMBER(F41),F41&gt;0),E41/F41,"")</f>
        <v/>
      </c>
      <c r="H41" s="28"/>
      <c r="I41" s="28"/>
      <c r="J41" s="28"/>
      <c r="K41" s="28"/>
      <c r="L41" s="28"/>
      <c r="M41" s="28"/>
    </row>
    <row r="42" customFormat="false" ht="24" hidden="false" customHeight="true" outlineLevel="0" collapsed="false">
      <c r="A42" s="28"/>
      <c r="B42" s="28"/>
      <c r="C42" s="28"/>
      <c r="D42" s="28"/>
      <c r="E42" s="35"/>
      <c r="F42" s="35"/>
      <c r="G42" s="38" t="str">
        <f aca="false">IF(AND(ISNUMBER(E42),ISNUMBER(F42),F42&gt;0),E42/F42,"")</f>
        <v/>
      </c>
      <c r="H42" s="28"/>
      <c r="I42" s="28"/>
      <c r="J42" s="28"/>
      <c r="K42" s="28"/>
      <c r="L42" s="28"/>
      <c r="M42" s="28"/>
    </row>
    <row r="43" customFormat="false" ht="24" hidden="false" customHeight="true" outlineLevel="0" collapsed="false">
      <c r="A43" s="28"/>
      <c r="B43" s="28"/>
      <c r="C43" s="28"/>
      <c r="D43" s="28"/>
      <c r="E43" s="35"/>
      <c r="F43" s="35"/>
      <c r="G43" s="38" t="str">
        <f aca="false">IF(AND(ISNUMBER(E43),ISNUMBER(F43),F43&gt;0),E43/F43,"")</f>
        <v/>
      </c>
      <c r="H43" s="28"/>
      <c r="I43" s="28"/>
      <c r="J43" s="28"/>
      <c r="K43" s="28"/>
      <c r="L43" s="28"/>
      <c r="M43" s="28"/>
    </row>
    <row r="44" customFormat="false" ht="24" hidden="false" customHeight="true" outlineLevel="0" collapsed="false">
      <c r="A44" s="28"/>
      <c r="B44" s="28"/>
      <c r="C44" s="28"/>
      <c r="D44" s="28"/>
      <c r="E44" s="35"/>
      <c r="F44" s="35"/>
      <c r="G44" s="38" t="str">
        <f aca="false">IF(AND(ISNUMBER(E44),ISNUMBER(F44),F44&gt;0),E44/F44,"")</f>
        <v/>
      </c>
      <c r="H44" s="28"/>
      <c r="I44" s="28"/>
      <c r="J44" s="28"/>
      <c r="K44" s="28"/>
      <c r="L44" s="28"/>
      <c r="M44" s="28"/>
    </row>
    <row r="45" customFormat="false" ht="24" hidden="false" customHeight="true" outlineLevel="0" collapsed="false">
      <c r="A45" s="28"/>
      <c r="B45" s="28"/>
      <c r="C45" s="28"/>
      <c r="D45" s="28"/>
      <c r="E45" s="35"/>
      <c r="F45" s="35"/>
      <c r="G45" s="38" t="str">
        <f aca="false">IF(AND(ISNUMBER(E45),ISNUMBER(F45),F45&gt;0),E45/F45,"")</f>
        <v/>
      </c>
      <c r="H45" s="28"/>
      <c r="I45" s="28"/>
      <c r="J45" s="28"/>
      <c r="K45" s="28"/>
      <c r="L45" s="28"/>
      <c r="M45" s="28"/>
    </row>
    <row r="46" customFormat="false" ht="24" hidden="false" customHeight="true" outlineLevel="0" collapsed="false">
      <c r="A46" s="28"/>
      <c r="B46" s="28"/>
      <c r="C46" s="28"/>
      <c r="D46" s="28"/>
      <c r="E46" s="35"/>
      <c r="F46" s="35"/>
      <c r="G46" s="38" t="str">
        <f aca="false">IF(AND(ISNUMBER(E46),ISNUMBER(F46),F46&gt;0),E46/F46,"")</f>
        <v/>
      </c>
      <c r="H46" s="28"/>
      <c r="I46" s="28"/>
      <c r="J46" s="28"/>
      <c r="K46" s="28"/>
      <c r="L46" s="28"/>
      <c r="M46" s="28"/>
    </row>
    <row r="47" customFormat="false" ht="24" hidden="false" customHeight="true" outlineLevel="0" collapsed="false">
      <c r="A47" s="28"/>
      <c r="B47" s="28"/>
      <c r="C47" s="28"/>
      <c r="D47" s="28"/>
      <c r="E47" s="35"/>
      <c r="F47" s="35"/>
      <c r="G47" s="38" t="str">
        <f aca="false">IF(AND(ISNUMBER(E47),ISNUMBER(F47),F47&gt;0),E47/F47,"")</f>
        <v/>
      </c>
      <c r="H47" s="28"/>
      <c r="I47" s="28"/>
      <c r="J47" s="28"/>
      <c r="K47" s="28"/>
      <c r="L47" s="28"/>
      <c r="M47" s="28"/>
    </row>
    <row r="48" customFormat="false" ht="24" hidden="false" customHeight="true" outlineLevel="0" collapsed="false">
      <c r="A48" s="28"/>
      <c r="B48" s="28"/>
      <c r="C48" s="28"/>
      <c r="D48" s="28"/>
      <c r="E48" s="35"/>
      <c r="F48" s="35"/>
      <c r="G48" s="38" t="str">
        <f aca="false">IF(AND(ISNUMBER(E48),ISNUMBER(F48),F48&gt;0),E48/F48,"")</f>
        <v/>
      </c>
      <c r="H48" s="28"/>
      <c r="I48" s="28"/>
      <c r="J48" s="28"/>
      <c r="K48" s="28"/>
      <c r="L48" s="28"/>
      <c r="M48" s="28"/>
    </row>
    <row r="49" customFormat="false" ht="24" hidden="false" customHeight="true" outlineLevel="0" collapsed="false">
      <c r="A49" s="28"/>
      <c r="B49" s="28"/>
      <c r="C49" s="28"/>
      <c r="D49" s="28"/>
      <c r="E49" s="35"/>
      <c r="F49" s="35"/>
      <c r="G49" s="38" t="str">
        <f aca="false">IF(AND(ISNUMBER(E49),ISNUMBER(F49),F49&gt;0),E49/F49,"")</f>
        <v/>
      </c>
      <c r="H49" s="28"/>
      <c r="I49" s="28"/>
      <c r="J49" s="28"/>
      <c r="K49" s="28"/>
      <c r="L49" s="28"/>
      <c r="M49" s="28"/>
    </row>
    <row r="50" customFormat="false" ht="24" hidden="false" customHeight="true" outlineLevel="0" collapsed="false">
      <c r="A50" s="28"/>
      <c r="B50" s="28"/>
      <c r="C50" s="28"/>
      <c r="D50" s="28"/>
      <c r="E50" s="35"/>
      <c r="F50" s="35"/>
      <c r="G50" s="38" t="str">
        <f aca="false">IF(AND(ISNUMBER(E50),ISNUMBER(F50),F50&gt;0),E50/F50,"")</f>
        <v/>
      </c>
      <c r="H50" s="28"/>
      <c r="I50" s="28"/>
      <c r="J50" s="28"/>
      <c r="K50" s="28"/>
      <c r="L50" s="28"/>
      <c r="M50" s="28"/>
    </row>
    <row r="51" customFormat="false" ht="24" hidden="false" customHeight="true" outlineLevel="0" collapsed="false">
      <c r="A51" s="28"/>
      <c r="B51" s="28"/>
      <c r="C51" s="28"/>
      <c r="D51" s="28"/>
      <c r="E51" s="35"/>
      <c r="F51" s="35"/>
      <c r="G51" s="38" t="str">
        <f aca="false">IF(AND(ISNUMBER(E51),ISNUMBER(F51),F51&gt;0),E51/F51,"")</f>
        <v/>
      </c>
      <c r="H51" s="28"/>
      <c r="I51" s="28"/>
      <c r="J51" s="28"/>
      <c r="K51" s="28"/>
      <c r="L51" s="28"/>
      <c r="M51" s="28"/>
    </row>
    <row r="52" customFormat="false" ht="24" hidden="false" customHeight="true" outlineLevel="0" collapsed="false">
      <c r="A52" s="28"/>
      <c r="B52" s="28"/>
      <c r="C52" s="28"/>
      <c r="D52" s="28"/>
      <c r="E52" s="35"/>
      <c r="F52" s="35"/>
      <c r="G52" s="38" t="str">
        <f aca="false">IF(AND(ISNUMBER(E52),ISNUMBER(F52),F52&gt;0),E52/F52,"")</f>
        <v/>
      </c>
      <c r="H52" s="28"/>
      <c r="I52" s="28"/>
      <c r="J52" s="28"/>
      <c r="K52" s="28"/>
      <c r="L52" s="28"/>
      <c r="M52" s="28"/>
    </row>
    <row r="53" customFormat="false" ht="24" hidden="false" customHeight="true" outlineLevel="0" collapsed="false">
      <c r="A53" s="28"/>
      <c r="B53" s="28"/>
      <c r="C53" s="28"/>
      <c r="D53" s="28"/>
      <c r="E53" s="35"/>
      <c r="F53" s="35"/>
      <c r="G53" s="38" t="str">
        <f aca="false">IF(AND(ISNUMBER(E53),ISNUMBER(F53),F53&gt;0),E53/F53,"")</f>
        <v/>
      </c>
      <c r="H53" s="28"/>
      <c r="I53" s="28"/>
      <c r="J53" s="28"/>
      <c r="K53" s="28"/>
      <c r="L53" s="28"/>
      <c r="M53" s="28"/>
    </row>
    <row r="54" customFormat="false" ht="24" hidden="false" customHeight="true" outlineLevel="0" collapsed="false">
      <c r="A54" s="28"/>
      <c r="B54" s="28"/>
      <c r="C54" s="28"/>
      <c r="D54" s="28"/>
      <c r="E54" s="35"/>
      <c r="F54" s="35"/>
      <c r="G54" s="38" t="str">
        <f aca="false">IF(AND(ISNUMBER(E54),ISNUMBER(F54),F54&gt;0),E54/F54,"")</f>
        <v/>
      </c>
      <c r="H54" s="28"/>
      <c r="I54" s="28"/>
      <c r="J54" s="28"/>
      <c r="K54" s="28"/>
      <c r="L54" s="28"/>
      <c r="M54" s="28"/>
    </row>
    <row r="55" customFormat="false" ht="24" hidden="false" customHeight="true" outlineLevel="0" collapsed="false">
      <c r="A55" s="28"/>
      <c r="B55" s="28"/>
      <c r="C55" s="28"/>
      <c r="D55" s="28"/>
      <c r="E55" s="35"/>
      <c r="F55" s="35"/>
      <c r="G55" s="38" t="str">
        <f aca="false">IF(AND(ISNUMBER(E55),ISNUMBER(F55),F55&gt;0),E55/F55,"")</f>
        <v/>
      </c>
      <c r="H55" s="28"/>
      <c r="I55" s="28"/>
      <c r="J55" s="28"/>
      <c r="K55" s="28"/>
      <c r="L55" s="28"/>
      <c r="M55" s="28"/>
    </row>
    <row r="56" customFormat="false" ht="24" hidden="false" customHeight="true" outlineLevel="0" collapsed="false">
      <c r="A56" s="28"/>
      <c r="B56" s="28"/>
      <c r="C56" s="28"/>
      <c r="D56" s="28"/>
      <c r="E56" s="35"/>
      <c r="F56" s="35"/>
      <c r="G56" s="38" t="str">
        <f aca="false">IF(AND(ISNUMBER(E56),ISNUMBER(F56),F56&gt;0),E56/F56,"")</f>
        <v/>
      </c>
      <c r="H56" s="28"/>
      <c r="I56" s="28"/>
      <c r="J56" s="28"/>
      <c r="K56" s="28"/>
      <c r="L56" s="28"/>
      <c r="M56" s="28"/>
    </row>
    <row r="57" customFormat="false" ht="24" hidden="false" customHeight="true" outlineLevel="0" collapsed="false">
      <c r="A57" s="28"/>
      <c r="B57" s="28"/>
      <c r="C57" s="28"/>
      <c r="D57" s="28"/>
      <c r="E57" s="35"/>
      <c r="F57" s="35"/>
      <c r="G57" s="38" t="str">
        <f aca="false">IF(AND(ISNUMBER(E57),ISNUMBER(F57),F57&gt;0),E57/F57,"")</f>
        <v/>
      </c>
      <c r="H57" s="28"/>
      <c r="I57" s="28"/>
      <c r="J57" s="28"/>
      <c r="K57" s="28"/>
      <c r="L57" s="28"/>
      <c r="M57" s="28"/>
    </row>
    <row r="58" customFormat="false" ht="24" hidden="false" customHeight="true" outlineLevel="0" collapsed="false">
      <c r="A58" s="28"/>
      <c r="B58" s="28"/>
      <c r="C58" s="28"/>
      <c r="D58" s="28"/>
      <c r="E58" s="35"/>
      <c r="F58" s="35"/>
      <c r="G58" s="38" t="str">
        <f aca="false">IF(AND(ISNUMBER(E58),ISNUMBER(F58),F58&gt;0),E58/F58,"")</f>
        <v/>
      </c>
      <c r="H58" s="28"/>
      <c r="I58" s="28"/>
      <c r="J58" s="28"/>
      <c r="K58" s="28"/>
      <c r="L58" s="28"/>
      <c r="M58" s="28"/>
    </row>
    <row r="59" customFormat="false" ht="24" hidden="false" customHeight="true" outlineLevel="0" collapsed="false">
      <c r="A59" s="28"/>
      <c r="B59" s="28"/>
      <c r="C59" s="28"/>
      <c r="D59" s="28"/>
      <c r="E59" s="35"/>
      <c r="F59" s="35"/>
      <c r="G59" s="38" t="str">
        <f aca="false">IF(AND(ISNUMBER(E59),ISNUMBER(F59),F59&gt;0),E59/F59,"")</f>
        <v/>
      </c>
      <c r="H59" s="28"/>
      <c r="I59" s="28"/>
      <c r="J59" s="28"/>
      <c r="K59" s="28"/>
      <c r="L59" s="28"/>
      <c r="M59" s="28"/>
    </row>
    <row r="60" customFormat="false" ht="24" hidden="false" customHeight="true" outlineLevel="0" collapsed="false">
      <c r="A60" s="28"/>
      <c r="B60" s="28"/>
      <c r="C60" s="28"/>
      <c r="D60" s="28"/>
      <c r="E60" s="35"/>
      <c r="F60" s="35"/>
      <c r="G60" s="38" t="str">
        <f aca="false">IF(AND(ISNUMBER(E60),ISNUMBER(F60),F60&gt;0),E60/F60,"")</f>
        <v/>
      </c>
      <c r="H60" s="28"/>
      <c r="I60" s="28"/>
      <c r="J60" s="28"/>
      <c r="K60" s="28"/>
      <c r="L60" s="28"/>
      <c r="M60" s="28"/>
    </row>
  </sheetData>
  <autoFilter ref="A5:M60"/>
  <conditionalFormatting sqref="M7:M60">
    <cfRule type="cellIs" priority="2" operator="equal" aboveAverage="0" equalAverage="0" bottom="0" percent="0" rank="0" text="" dxfId="14">
      <formula>"Handled"</formula>
    </cfRule>
    <cfRule type="cellIs" priority="3" operator="equal" aboveAverage="0" equalAverage="0" bottom="0" percent="0" rank="0" text="" dxfId="17">
      <formula>"Confirmed"</formula>
    </cfRule>
    <cfRule type="cellIs" priority="4" operator="equal" aboveAverage="0" equalAverage="0" bottom="0" percent="0" rank="0" text="" dxfId="18">
      <formula>"Not found"</formula>
    </cfRule>
  </conditionalFormatting>
  <conditionalFormatting sqref="H7:H60">
    <cfRule type="cellIs" priority="5" operator="equal" aboveAverage="0" equalAverage="0" bottom="0" percent="0" rank="0" text="" dxfId="19">
      <formula>"High"</formula>
    </cfRule>
  </conditionalFormatting>
  <dataValidations count="3">
    <dataValidation allowBlank="true" error="Pick a value from the dropdown list." errorStyle="stop" errorTitle="Invalid value" operator="between" showDropDown="false" showErrorMessage="true" showInputMessage="false" sqref="H7:H60" type="list">
      <formula1>"High,Medium,Low"</formula1>
      <formula2>0</formula2>
    </dataValidation>
    <dataValidation allowBlank="true" error="Pick a value from the dropdown list." errorStyle="stop" errorTitle="Invalid value" operator="between" showDropDown="false" showErrorMessage="true" showInputMessage="false" sqref="K7:K60" type="list">
      <formula1>"Source,Landing,Bronze,Silver,Gold,Not handled"</formula1>
      <formula2>0</formula2>
    </dataValidation>
    <dataValidation allowBlank="true" error="Pick a value from the dropdown list." errorStyle="stop" errorTitle="Invalid value" operator="between" showDropDown="false" showErrorMessage="true" showInputMessage="false" sqref="M7:M60" type="list">
      <formula1>"To verify,Confirmed,Handled,Not found,Wont fix"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6"/>
    <col collapsed="false" customWidth="true" hidden="false" outlineLevel="0" max="4" min="4" style="0" width="48"/>
    <col collapsed="false" customWidth="true" hidden="false" outlineLevel="0" max="5" min="5" style="0" width="22"/>
    <col collapsed="false" customWidth="true" hidden="false" outlineLevel="0" max="7" min="6" style="0" width="30"/>
    <col collapsed="false" customWidth="true" hidden="false" outlineLevel="0" max="8" min="8" style="0" width="12"/>
  </cols>
  <sheetData>
    <row r="1" customFormat="false" ht="25.5" hidden="false" customHeight="true" outlineLevel="0" collapsed="false">
      <c r="A1" s="1" t="s">
        <v>1299</v>
      </c>
    </row>
    <row r="2" customFormat="false" ht="15" hidden="false" customHeight="false" outlineLevel="0" collapsed="false">
      <c r="A2" s="2" t="s">
        <v>1300</v>
      </c>
    </row>
    <row r="5" customFormat="false" ht="30" hidden="false" customHeight="true" outlineLevel="0" collapsed="false">
      <c r="A5" s="6" t="s">
        <v>125</v>
      </c>
      <c r="B5" s="6" t="s">
        <v>1198</v>
      </c>
      <c r="C5" s="6" t="s">
        <v>1301</v>
      </c>
      <c r="D5" s="6" t="s">
        <v>1302</v>
      </c>
      <c r="E5" s="6" t="s">
        <v>1303</v>
      </c>
      <c r="F5" s="6" t="s">
        <v>1304</v>
      </c>
      <c r="G5" s="6" t="s">
        <v>1305</v>
      </c>
      <c r="H5" s="6" t="s">
        <v>128</v>
      </c>
    </row>
    <row r="6" customFormat="false" ht="31.5" hidden="false" customHeight="true" outlineLevel="0" collapsed="false">
      <c r="A6" s="32" t="s">
        <v>1306</v>
      </c>
      <c r="B6" s="32" t="s">
        <v>1186</v>
      </c>
      <c r="C6" s="32" t="s">
        <v>1307</v>
      </c>
      <c r="D6" s="32" t="s">
        <v>1308</v>
      </c>
      <c r="E6" s="32" t="s">
        <v>1309</v>
      </c>
      <c r="F6" s="32" t="s">
        <v>1310</v>
      </c>
      <c r="G6" s="32" t="s">
        <v>1311</v>
      </c>
      <c r="H6" s="32" t="s">
        <v>50</v>
      </c>
    </row>
    <row r="7" customFormat="false" ht="30.75" hidden="false" customHeight="true" outlineLevel="0" collapsed="false">
      <c r="A7" s="17" t="s">
        <v>1312</v>
      </c>
      <c r="B7" s="30"/>
      <c r="C7" s="17" t="s">
        <v>1313</v>
      </c>
      <c r="D7" s="17" t="s">
        <v>1314</v>
      </c>
      <c r="E7" s="28"/>
      <c r="F7" s="28"/>
      <c r="G7" s="28"/>
      <c r="H7" s="28" t="s">
        <v>1315</v>
      </c>
    </row>
    <row r="8" customFormat="false" ht="30.75" hidden="false" customHeight="true" outlineLevel="0" collapsed="false">
      <c r="A8" s="17" t="s">
        <v>1316</v>
      </c>
      <c r="B8" s="30"/>
      <c r="C8" s="17" t="s">
        <v>1317</v>
      </c>
      <c r="D8" s="17" t="s">
        <v>1318</v>
      </c>
      <c r="E8" s="28"/>
      <c r="F8" s="28"/>
      <c r="G8" s="28"/>
      <c r="H8" s="28" t="s">
        <v>1315</v>
      </c>
    </row>
    <row r="9" customFormat="false" ht="30" hidden="false" customHeight="true" outlineLevel="0" collapsed="false">
      <c r="A9" s="17" t="s">
        <v>1319</v>
      </c>
      <c r="B9" s="30"/>
      <c r="C9" s="17" t="s">
        <v>1320</v>
      </c>
      <c r="D9" s="17" t="s">
        <v>1321</v>
      </c>
      <c r="E9" s="28"/>
      <c r="F9" s="28"/>
      <c r="G9" s="28"/>
      <c r="H9" s="28" t="s">
        <v>1315</v>
      </c>
    </row>
    <row r="10" customFormat="false" ht="30.75" hidden="false" customHeight="true" outlineLevel="0" collapsed="false">
      <c r="A10" s="17" t="s">
        <v>1322</v>
      </c>
      <c r="B10" s="30"/>
      <c r="C10" s="17" t="s">
        <v>1323</v>
      </c>
      <c r="D10" s="17" t="s">
        <v>1324</v>
      </c>
      <c r="E10" s="28"/>
      <c r="F10" s="28"/>
      <c r="G10" s="28"/>
      <c r="H10" s="28" t="s">
        <v>1315</v>
      </c>
    </row>
    <row r="11" customFormat="false" ht="30" hidden="false" customHeight="true" outlineLevel="0" collapsed="false">
      <c r="A11" s="17" t="s">
        <v>1325</v>
      </c>
      <c r="B11" s="30"/>
      <c r="C11" s="17" t="s">
        <v>1326</v>
      </c>
      <c r="D11" s="17" t="s">
        <v>1327</v>
      </c>
      <c r="E11" s="28"/>
      <c r="F11" s="28"/>
      <c r="G11" s="28"/>
      <c r="H11" s="28" t="s">
        <v>1315</v>
      </c>
    </row>
    <row r="12" customFormat="false" ht="30" hidden="false" customHeight="true" outlineLevel="0" collapsed="false">
      <c r="A12" s="17" t="s">
        <v>1328</v>
      </c>
      <c r="B12" s="30"/>
      <c r="C12" s="17" t="s">
        <v>1329</v>
      </c>
      <c r="D12" s="17" t="s">
        <v>1330</v>
      </c>
      <c r="E12" s="28"/>
      <c r="F12" s="28"/>
      <c r="G12" s="28"/>
      <c r="H12" s="28" t="s">
        <v>1315</v>
      </c>
    </row>
    <row r="13" customFormat="false" ht="30" hidden="false" customHeight="true" outlineLevel="0" collapsed="false">
      <c r="A13" s="17" t="s">
        <v>1331</v>
      </c>
      <c r="B13" s="30"/>
      <c r="C13" s="17" t="s">
        <v>1332</v>
      </c>
      <c r="D13" s="17" t="s">
        <v>1333</v>
      </c>
      <c r="E13" s="28"/>
      <c r="F13" s="28"/>
      <c r="G13" s="28"/>
      <c r="H13" s="28" t="s">
        <v>1315</v>
      </c>
    </row>
    <row r="14" customFormat="false" ht="30" hidden="false" customHeight="true" outlineLevel="0" collapsed="false">
      <c r="A14" s="17" t="s">
        <v>1334</v>
      </c>
      <c r="B14" s="30"/>
      <c r="C14" s="17" t="s">
        <v>1335</v>
      </c>
      <c r="D14" s="17" t="s">
        <v>1336</v>
      </c>
      <c r="E14" s="28"/>
      <c r="F14" s="28"/>
      <c r="G14" s="28"/>
      <c r="H14" s="28" t="s">
        <v>1315</v>
      </c>
    </row>
    <row r="15" customFormat="false" ht="30.75" hidden="false" customHeight="true" outlineLevel="0" collapsed="false">
      <c r="A15" s="17" t="s">
        <v>1337</v>
      </c>
      <c r="B15" s="30"/>
      <c r="C15" s="17" t="s">
        <v>1338</v>
      </c>
      <c r="D15" s="17" t="s">
        <v>1339</v>
      </c>
      <c r="E15" s="28"/>
      <c r="F15" s="28"/>
      <c r="G15" s="28"/>
      <c r="H15" s="28" t="s">
        <v>1315</v>
      </c>
    </row>
    <row r="16" customFormat="false" ht="30.75" hidden="false" customHeight="true" outlineLevel="0" collapsed="false">
      <c r="A16" s="17" t="s">
        <v>1340</v>
      </c>
      <c r="B16" s="30"/>
      <c r="C16" s="17" t="s">
        <v>1341</v>
      </c>
      <c r="D16" s="17" t="s">
        <v>1342</v>
      </c>
      <c r="E16" s="28"/>
      <c r="F16" s="28"/>
      <c r="G16" s="28"/>
      <c r="H16" s="28" t="s">
        <v>1315</v>
      </c>
    </row>
    <row r="17" customFormat="false" ht="30" hidden="false" customHeight="true" outlineLevel="0" collapsed="false">
      <c r="A17" s="17" t="s">
        <v>1343</v>
      </c>
      <c r="B17" s="30"/>
      <c r="C17" s="17" t="s">
        <v>1344</v>
      </c>
      <c r="D17" s="17" t="s">
        <v>1345</v>
      </c>
      <c r="E17" s="28"/>
      <c r="F17" s="28"/>
      <c r="G17" s="28"/>
      <c r="H17" s="28" t="s">
        <v>1315</v>
      </c>
    </row>
    <row r="18" customFormat="false" ht="30.75" hidden="false" customHeight="true" outlineLevel="0" collapsed="false">
      <c r="A18" s="17" t="s">
        <v>1346</v>
      </c>
      <c r="B18" s="30"/>
      <c r="C18" s="17" t="s">
        <v>1307</v>
      </c>
      <c r="D18" s="17" t="s">
        <v>1347</v>
      </c>
      <c r="E18" s="28"/>
      <c r="F18" s="28"/>
      <c r="G18" s="28"/>
      <c r="H18" s="28" t="s">
        <v>1315</v>
      </c>
    </row>
    <row r="19" customFormat="false" ht="30" hidden="false" customHeight="true" outlineLevel="0" collapsed="false">
      <c r="A19" s="17" t="s">
        <v>1348</v>
      </c>
      <c r="B19" s="30"/>
      <c r="C19" s="17" t="s">
        <v>1349</v>
      </c>
      <c r="D19" s="17" t="s">
        <v>1350</v>
      </c>
      <c r="E19" s="28"/>
      <c r="F19" s="28"/>
      <c r="G19" s="28"/>
      <c r="H19" s="28" t="s">
        <v>1315</v>
      </c>
    </row>
    <row r="20" customFormat="false" ht="30.75" hidden="false" customHeight="true" outlineLevel="0" collapsed="false">
      <c r="A20" s="17" t="s">
        <v>1351</v>
      </c>
      <c r="B20" s="30"/>
      <c r="C20" s="17" t="s">
        <v>1352</v>
      </c>
      <c r="D20" s="17" t="s">
        <v>1353</v>
      </c>
      <c r="E20" s="28"/>
      <c r="F20" s="28"/>
      <c r="G20" s="28"/>
      <c r="H20" s="28" t="s">
        <v>1315</v>
      </c>
    </row>
    <row r="21" customFormat="false" ht="24" hidden="false" customHeight="true" outlineLevel="0" collapsed="false">
      <c r="A21" s="28"/>
      <c r="B21" s="30"/>
      <c r="C21" s="28"/>
      <c r="D21" s="28"/>
      <c r="E21" s="28"/>
      <c r="F21" s="28"/>
      <c r="G21" s="28"/>
      <c r="H21" s="28"/>
    </row>
    <row r="22" customFormat="false" ht="24" hidden="false" customHeight="true" outlineLevel="0" collapsed="false">
      <c r="A22" s="28"/>
      <c r="B22" s="30"/>
      <c r="C22" s="28"/>
      <c r="D22" s="28"/>
      <c r="E22" s="28"/>
      <c r="F22" s="28"/>
      <c r="G22" s="28"/>
      <c r="H22" s="28"/>
    </row>
    <row r="23" customFormat="false" ht="24" hidden="false" customHeight="true" outlineLevel="0" collapsed="false">
      <c r="A23" s="28"/>
      <c r="B23" s="30"/>
      <c r="C23" s="28"/>
      <c r="D23" s="28"/>
      <c r="E23" s="28"/>
      <c r="F23" s="28"/>
      <c r="G23" s="28"/>
      <c r="H23" s="28"/>
    </row>
    <row r="24" customFormat="false" ht="24" hidden="false" customHeight="true" outlineLevel="0" collapsed="false">
      <c r="A24" s="28"/>
      <c r="B24" s="30"/>
      <c r="C24" s="28"/>
      <c r="D24" s="28"/>
      <c r="E24" s="28"/>
      <c r="F24" s="28"/>
      <c r="G24" s="28"/>
      <c r="H24" s="28"/>
    </row>
    <row r="25" customFormat="false" ht="24" hidden="false" customHeight="true" outlineLevel="0" collapsed="false">
      <c r="A25" s="28"/>
      <c r="B25" s="30"/>
      <c r="C25" s="28"/>
      <c r="D25" s="28"/>
      <c r="E25" s="28"/>
      <c r="F25" s="28"/>
      <c r="G25" s="28"/>
      <c r="H25" s="28"/>
    </row>
    <row r="26" customFormat="false" ht="24" hidden="false" customHeight="true" outlineLevel="0" collapsed="false">
      <c r="A26" s="28"/>
      <c r="B26" s="30"/>
      <c r="C26" s="28"/>
      <c r="D26" s="28"/>
      <c r="E26" s="28"/>
      <c r="F26" s="28"/>
      <c r="G26" s="28"/>
      <c r="H26" s="28"/>
    </row>
    <row r="27" customFormat="false" ht="24" hidden="false" customHeight="true" outlineLevel="0" collapsed="false">
      <c r="A27" s="28"/>
      <c r="B27" s="30"/>
      <c r="C27" s="28"/>
      <c r="D27" s="28"/>
      <c r="E27" s="28"/>
      <c r="F27" s="28"/>
      <c r="G27" s="28"/>
      <c r="H27" s="28"/>
    </row>
    <row r="28" customFormat="false" ht="24" hidden="false" customHeight="true" outlineLevel="0" collapsed="false">
      <c r="A28" s="28"/>
      <c r="B28" s="30"/>
      <c r="C28" s="28"/>
      <c r="D28" s="28"/>
      <c r="E28" s="28"/>
      <c r="F28" s="28"/>
      <c r="G28" s="28"/>
      <c r="H28" s="28"/>
    </row>
    <row r="29" customFormat="false" ht="24" hidden="false" customHeight="true" outlineLevel="0" collapsed="false">
      <c r="A29" s="28"/>
      <c r="B29" s="30"/>
      <c r="C29" s="28"/>
      <c r="D29" s="28"/>
      <c r="E29" s="28"/>
      <c r="F29" s="28"/>
      <c r="G29" s="28"/>
      <c r="H29" s="28"/>
    </row>
    <row r="30" customFormat="false" ht="24" hidden="false" customHeight="true" outlineLevel="0" collapsed="false">
      <c r="A30" s="28"/>
      <c r="B30" s="30"/>
      <c r="C30" s="28"/>
      <c r="D30" s="28"/>
      <c r="E30" s="28"/>
      <c r="F30" s="28"/>
      <c r="G30" s="28"/>
      <c r="H30" s="28"/>
    </row>
    <row r="31" customFormat="false" ht="24" hidden="false" customHeight="true" outlineLevel="0" collapsed="false">
      <c r="A31" s="28"/>
      <c r="B31" s="30"/>
      <c r="C31" s="28"/>
      <c r="D31" s="28"/>
      <c r="E31" s="28"/>
      <c r="F31" s="28"/>
      <c r="G31" s="28"/>
      <c r="H31" s="28"/>
    </row>
    <row r="32" customFormat="false" ht="24" hidden="false" customHeight="true" outlineLevel="0" collapsed="false">
      <c r="A32" s="28"/>
      <c r="B32" s="30"/>
      <c r="C32" s="28"/>
      <c r="D32" s="28"/>
      <c r="E32" s="28"/>
      <c r="F32" s="28"/>
      <c r="G32" s="28"/>
      <c r="H32" s="28"/>
    </row>
    <row r="33" customFormat="false" ht="24" hidden="false" customHeight="true" outlineLevel="0" collapsed="false">
      <c r="A33" s="28"/>
      <c r="B33" s="30"/>
      <c r="C33" s="28"/>
      <c r="D33" s="28"/>
      <c r="E33" s="28"/>
      <c r="F33" s="28"/>
      <c r="G33" s="28"/>
      <c r="H33" s="28"/>
    </row>
    <row r="34" customFormat="false" ht="24" hidden="false" customHeight="true" outlineLevel="0" collapsed="false">
      <c r="A34" s="28"/>
      <c r="B34" s="30"/>
      <c r="C34" s="28"/>
      <c r="D34" s="28"/>
      <c r="E34" s="28"/>
      <c r="F34" s="28"/>
      <c r="G34" s="28"/>
      <c r="H34" s="28"/>
    </row>
    <row r="35" customFormat="false" ht="24" hidden="false" customHeight="true" outlineLevel="0" collapsed="false">
      <c r="A35" s="28"/>
      <c r="B35" s="30"/>
      <c r="C35" s="28"/>
      <c r="D35" s="28"/>
      <c r="E35" s="28"/>
      <c r="F35" s="28"/>
      <c r="G35" s="28"/>
      <c r="H35" s="28"/>
    </row>
    <row r="36" customFormat="false" ht="24" hidden="false" customHeight="true" outlineLevel="0" collapsed="false">
      <c r="A36" s="28"/>
      <c r="B36" s="30"/>
      <c r="C36" s="28"/>
      <c r="D36" s="28"/>
      <c r="E36" s="28"/>
      <c r="F36" s="28"/>
      <c r="G36" s="28"/>
      <c r="H36" s="28"/>
    </row>
    <row r="37" customFormat="false" ht="24" hidden="false" customHeight="true" outlineLevel="0" collapsed="false">
      <c r="A37" s="28"/>
      <c r="B37" s="30"/>
      <c r="C37" s="28"/>
      <c r="D37" s="28"/>
      <c r="E37" s="28"/>
      <c r="F37" s="28"/>
      <c r="G37" s="28"/>
      <c r="H37" s="28"/>
    </row>
    <row r="38" customFormat="false" ht="24" hidden="false" customHeight="true" outlineLevel="0" collapsed="false">
      <c r="A38" s="28"/>
      <c r="B38" s="30"/>
      <c r="C38" s="28"/>
      <c r="D38" s="28"/>
      <c r="E38" s="28"/>
      <c r="F38" s="28"/>
      <c r="G38" s="28"/>
      <c r="H38" s="28"/>
    </row>
    <row r="39" customFormat="false" ht="24" hidden="false" customHeight="true" outlineLevel="0" collapsed="false">
      <c r="A39" s="28"/>
      <c r="B39" s="30"/>
      <c r="C39" s="28"/>
      <c r="D39" s="28"/>
      <c r="E39" s="28"/>
      <c r="F39" s="28"/>
      <c r="G39" s="28"/>
      <c r="H39" s="28"/>
    </row>
    <row r="40" customFormat="false" ht="24" hidden="false" customHeight="true" outlineLevel="0" collapsed="false">
      <c r="A40" s="28"/>
      <c r="B40" s="30"/>
      <c r="C40" s="28"/>
      <c r="D40" s="28"/>
      <c r="E40" s="28"/>
      <c r="F40" s="28"/>
      <c r="G40" s="28"/>
      <c r="H40" s="28"/>
    </row>
  </sheetData>
  <autoFilter ref="A5:H40"/>
  <conditionalFormatting sqref="H7:H40">
    <cfRule type="cellIs" priority="2" operator="equal" aboveAverage="0" equalAverage="0" bottom="0" percent="0" rank="0" text="" dxfId="14">
      <formula>"Decided"</formula>
    </cfRule>
    <cfRule type="cellIs" priority="3" operator="equal" aboveAverage="0" equalAverage="0" bottom="0" percent="0" rank="0" text="" dxfId="17">
      <formula>"Open"</formula>
    </cfRule>
    <cfRule type="cellIs" priority="4" operator="equal" aboveAverage="0" equalAverage="0" bottom="0" percent="0" rank="0" text="" dxfId="15">
      <formula>"Revisit"</formula>
    </cfRule>
  </conditionalFormatting>
  <dataValidations count="1">
    <dataValidation allowBlank="true" error="Pick a value from the dropdown list." errorStyle="stop" errorTitle="Invalid value" operator="between" showDropDown="false" showErrorMessage="true" showInputMessage="false" sqref="H7:H40" type="list">
      <formula1>"Open,Decided,Revisit"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40"/>
    <col collapsed="false" customWidth="true" hidden="false" outlineLevel="0" max="7" min="5" style="0" width="30"/>
    <col collapsed="false" customWidth="true" hidden="false" outlineLevel="0" max="8" min="8" style="0" width="28"/>
    <col collapsed="false" customWidth="true" hidden="false" outlineLevel="0" max="9" min="9" style="0" width="13"/>
  </cols>
  <sheetData>
    <row r="1" customFormat="false" ht="25.5" hidden="false" customHeight="true" outlineLevel="0" collapsed="false">
      <c r="A1" s="1" t="s">
        <v>1354</v>
      </c>
    </row>
    <row r="2" customFormat="false" ht="15" hidden="false" customHeight="false" outlineLevel="0" collapsed="false">
      <c r="A2" s="2" t="s">
        <v>1355</v>
      </c>
    </row>
    <row r="5" customFormat="false" ht="30" hidden="false" customHeight="true" outlineLevel="0" collapsed="false">
      <c r="A5" s="6" t="s">
        <v>1199</v>
      </c>
      <c r="B5" s="6" t="s">
        <v>1356</v>
      </c>
      <c r="C5" s="6" t="s">
        <v>1357</v>
      </c>
      <c r="D5" s="6" t="s">
        <v>1358</v>
      </c>
      <c r="E5" s="6" t="s">
        <v>1359</v>
      </c>
      <c r="F5" s="6" t="s">
        <v>1360</v>
      </c>
      <c r="G5" s="6" t="s">
        <v>1361</v>
      </c>
      <c r="H5" s="6" t="s">
        <v>1362</v>
      </c>
      <c r="I5" s="6" t="s">
        <v>1363</v>
      </c>
    </row>
    <row r="6" customFormat="false" ht="30.75" hidden="false" customHeight="true" outlineLevel="0" collapsed="false">
      <c r="A6" s="14" t="s">
        <v>1364</v>
      </c>
      <c r="B6" s="12" t="s">
        <v>1365</v>
      </c>
      <c r="C6" s="17" t="s">
        <v>1366</v>
      </c>
      <c r="D6" s="17" t="s">
        <v>1367</v>
      </c>
      <c r="E6" s="28"/>
      <c r="F6" s="28"/>
      <c r="G6" s="28"/>
      <c r="H6" s="28"/>
      <c r="I6" s="26" t="s">
        <v>15</v>
      </c>
    </row>
    <row r="7" customFormat="false" ht="27.75" hidden="false" customHeight="true" outlineLevel="0" collapsed="false">
      <c r="A7" s="14" t="s">
        <v>1368</v>
      </c>
      <c r="B7" s="12" t="s">
        <v>1369</v>
      </c>
      <c r="C7" s="17" t="s">
        <v>1370</v>
      </c>
      <c r="D7" s="17" t="s">
        <v>1371</v>
      </c>
      <c r="E7" s="28"/>
      <c r="F7" s="28"/>
      <c r="G7" s="28"/>
      <c r="H7" s="28"/>
      <c r="I7" s="26" t="s">
        <v>15</v>
      </c>
    </row>
    <row r="8" customFormat="false" ht="30.75" hidden="false" customHeight="true" outlineLevel="0" collapsed="false">
      <c r="A8" s="14" t="s">
        <v>73</v>
      </c>
      <c r="B8" s="12" t="s">
        <v>1372</v>
      </c>
      <c r="C8" s="17" t="s">
        <v>1373</v>
      </c>
      <c r="D8" s="17" t="s">
        <v>1374</v>
      </c>
      <c r="E8" s="28"/>
      <c r="F8" s="28"/>
      <c r="G8" s="28"/>
      <c r="H8" s="28"/>
      <c r="I8" s="26" t="s">
        <v>15</v>
      </c>
    </row>
    <row r="9" customFormat="false" ht="30.75" hidden="false" customHeight="true" outlineLevel="0" collapsed="false">
      <c r="A9" s="14" t="s">
        <v>73</v>
      </c>
      <c r="B9" s="12" t="s">
        <v>1375</v>
      </c>
      <c r="C9" s="17" t="s">
        <v>1370</v>
      </c>
      <c r="D9" s="17" t="s">
        <v>1376</v>
      </c>
      <c r="E9" s="28"/>
      <c r="F9" s="28"/>
      <c r="G9" s="28"/>
      <c r="H9" s="28"/>
      <c r="I9" s="26" t="s">
        <v>15</v>
      </c>
    </row>
    <row r="10" customFormat="false" ht="27.75" hidden="false" customHeight="true" outlineLevel="0" collapsed="false">
      <c r="A10" s="14" t="s">
        <v>73</v>
      </c>
      <c r="B10" s="12" t="s">
        <v>1377</v>
      </c>
      <c r="C10" s="17" t="s">
        <v>1378</v>
      </c>
      <c r="D10" s="17" t="s">
        <v>1379</v>
      </c>
      <c r="E10" s="28"/>
      <c r="F10" s="28"/>
      <c r="G10" s="28"/>
      <c r="H10" s="28"/>
      <c r="I10" s="26" t="s">
        <v>15</v>
      </c>
    </row>
    <row r="11" customFormat="false" ht="27.75" hidden="false" customHeight="true" outlineLevel="0" collapsed="false">
      <c r="A11" s="14" t="s">
        <v>99</v>
      </c>
      <c r="B11" s="12" t="s">
        <v>1380</v>
      </c>
      <c r="C11" s="17" t="s">
        <v>1381</v>
      </c>
      <c r="D11" s="17" t="s">
        <v>1382</v>
      </c>
      <c r="E11" s="28"/>
      <c r="F11" s="28"/>
      <c r="G11" s="28"/>
      <c r="H11" s="28"/>
      <c r="I11" s="26" t="s">
        <v>15</v>
      </c>
    </row>
    <row r="12" customFormat="false" ht="27.75" hidden="false" customHeight="true" outlineLevel="0" collapsed="false">
      <c r="A12" s="14" t="s">
        <v>99</v>
      </c>
      <c r="B12" s="12" t="s">
        <v>1383</v>
      </c>
      <c r="C12" s="17" t="s">
        <v>1384</v>
      </c>
      <c r="D12" s="17" t="s">
        <v>1385</v>
      </c>
      <c r="E12" s="28"/>
      <c r="F12" s="28"/>
      <c r="G12" s="28"/>
      <c r="H12" s="28"/>
      <c r="I12" s="26" t="s">
        <v>15</v>
      </c>
    </row>
    <row r="13" customFormat="false" ht="27.75" hidden="false" customHeight="true" outlineLevel="0" collapsed="false">
      <c r="A13" s="14" t="s">
        <v>99</v>
      </c>
      <c r="B13" s="12" t="s">
        <v>1386</v>
      </c>
      <c r="C13" s="17" t="s">
        <v>1387</v>
      </c>
      <c r="D13" s="17" t="s">
        <v>1388</v>
      </c>
      <c r="E13" s="28"/>
      <c r="F13" s="28"/>
      <c r="G13" s="28"/>
      <c r="H13" s="28"/>
      <c r="I13" s="26" t="s">
        <v>15</v>
      </c>
    </row>
    <row r="14" customFormat="false" ht="27.75" hidden="false" customHeight="true" outlineLevel="0" collapsed="false">
      <c r="A14" s="14" t="s">
        <v>73</v>
      </c>
      <c r="B14" s="12" t="s">
        <v>1389</v>
      </c>
      <c r="C14" s="17" t="s">
        <v>1384</v>
      </c>
      <c r="D14" s="17" t="s">
        <v>1390</v>
      </c>
      <c r="E14" s="28"/>
      <c r="F14" s="28"/>
      <c r="G14" s="28"/>
      <c r="H14" s="28"/>
      <c r="I14" s="26" t="s">
        <v>15</v>
      </c>
    </row>
    <row r="15" customFormat="false" ht="27.75" hidden="false" customHeight="true" outlineLevel="0" collapsed="false">
      <c r="A15" s="14" t="s">
        <v>99</v>
      </c>
      <c r="B15" s="12" t="s">
        <v>1391</v>
      </c>
      <c r="C15" s="17" t="s">
        <v>1392</v>
      </c>
      <c r="D15" s="17" t="s">
        <v>1393</v>
      </c>
      <c r="E15" s="28"/>
      <c r="F15" s="28"/>
      <c r="G15" s="28"/>
      <c r="H15" s="28"/>
      <c r="I15" s="26" t="s">
        <v>15</v>
      </c>
    </row>
    <row r="16" customFormat="false" ht="27.75" hidden="false" customHeight="true" outlineLevel="0" collapsed="false">
      <c r="A16" s="14" t="s">
        <v>99</v>
      </c>
      <c r="B16" s="12" t="s">
        <v>1394</v>
      </c>
      <c r="C16" s="17" t="s">
        <v>1395</v>
      </c>
      <c r="D16" s="17" t="s">
        <v>1396</v>
      </c>
      <c r="E16" s="28"/>
      <c r="F16" s="28"/>
      <c r="G16" s="28"/>
      <c r="H16" s="28"/>
      <c r="I16" s="26" t="s">
        <v>15</v>
      </c>
    </row>
    <row r="17" customFormat="false" ht="30.75" hidden="false" customHeight="true" outlineLevel="0" collapsed="false">
      <c r="A17" s="14" t="s">
        <v>63</v>
      </c>
      <c r="B17" s="12" t="s">
        <v>1397</v>
      </c>
      <c r="C17" s="17" t="s">
        <v>1398</v>
      </c>
      <c r="D17" s="17" t="s">
        <v>1399</v>
      </c>
      <c r="E17" s="28"/>
      <c r="F17" s="28"/>
      <c r="G17" s="28"/>
      <c r="H17" s="28"/>
      <c r="I17" s="26" t="s">
        <v>15</v>
      </c>
    </row>
    <row r="18" customFormat="false" ht="27.75" hidden="false" customHeight="true" outlineLevel="0" collapsed="false">
      <c r="A18" s="14" t="s">
        <v>63</v>
      </c>
      <c r="B18" s="12" t="s">
        <v>1400</v>
      </c>
      <c r="C18" s="17" t="s">
        <v>1398</v>
      </c>
      <c r="D18" s="17" t="s">
        <v>1401</v>
      </c>
      <c r="E18" s="28"/>
      <c r="F18" s="28"/>
      <c r="G18" s="28"/>
      <c r="H18" s="28"/>
      <c r="I18" s="26" t="s">
        <v>15</v>
      </c>
    </row>
    <row r="19" customFormat="false" ht="27.75" hidden="false" customHeight="true" outlineLevel="0" collapsed="false">
      <c r="A19" s="14" t="s">
        <v>63</v>
      </c>
      <c r="B19" s="12" t="s">
        <v>1402</v>
      </c>
      <c r="C19" s="17" t="s">
        <v>1403</v>
      </c>
      <c r="D19" s="17" t="s">
        <v>1404</v>
      </c>
      <c r="E19" s="28"/>
      <c r="F19" s="28"/>
      <c r="G19" s="28"/>
      <c r="H19" s="28"/>
      <c r="I19" s="26" t="s">
        <v>15</v>
      </c>
    </row>
    <row r="20" customFormat="false" ht="27.75" hidden="false" customHeight="true" outlineLevel="0" collapsed="false">
      <c r="A20" s="14" t="s">
        <v>63</v>
      </c>
      <c r="B20" s="12" t="s">
        <v>1405</v>
      </c>
      <c r="C20" s="17" t="s">
        <v>1406</v>
      </c>
      <c r="D20" s="17" t="s">
        <v>1407</v>
      </c>
      <c r="E20" s="28"/>
      <c r="F20" s="28"/>
      <c r="G20" s="28"/>
      <c r="H20" s="28"/>
      <c r="I20" s="26" t="s">
        <v>15</v>
      </c>
    </row>
    <row r="21" customFormat="false" ht="27.75" hidden="false" customHeight="true" outlineLevel="0" collapsed="false">
      <c r="A21" s="14" t="s">
        <v>73</v>
      </c>
      <c r="B21" s="12" t="s">
        <v>1408</v>
      </c>
      <c r="C21" s="17" t="s">
        <v>1409</v>
      </c>
      <c r="D21" s="17" t="s">
        <v>1410</v>
      </c>
      <c r="E21" s="28"/>
      <c r="F21" s="28"/>
      <c r="G21" s="28"/>
      <c r="H21" s="28"/>
      <c r="I21" s="26" t="s">
        <v>15</v>
      </c>
    </row>
    <row r="22" customFormat="false" ht="27.75" hidden="false" customHeight="true" outlineLevel="0" collapsed="false">
      <c r="A22" s="14" t="s">
        <v>63</v>
      </c>
      <c r="B22" s="12" t="s">
        <v>1411</v>
      </c>
      <c r="C22" s="17" t="s">
        <v>1412</v>
      </c>
      <c r="D22" s="17" t="s">
        <v>1350</v>
      </c>
      <c r="E22" s="28"/>
      <c r="F22" s="28"/>
      <c r="G22" s="28"/>
      <c r="H22" s="28"/>
      <c r="I22" s="26" t="s">
        <v>15</v>
      </c>
    </row>
    <row r="23" customFormat="false" ht="27.75" hidden="false" customHeight="true" outlineLevel="0" collapsed="false">
      <c r="A23" s="14" t="s">
        <v>99</v>
      </c>
      <c r="B23" s="12" t="s">
        <v>1413</v>
      </c>
      <c r="C23" s="17" t="s">
        <v>1409</v>
      </c>
      <c r="D23" s="17" t="s">
        <v>1414</v>
      </c>
      <c r="E23" s="28"/>
      <c r="F23" s="28"/>
      <c r="G23" s="28"/>
      <c r="H23" s="28"/>
      <c r="I23" s="26" t="s">
        <v>15</v>
      </c>
    </row>
    <row r="24" customFormat="false" ht="27.75" hidden="false" customHeight="true" outlineLevel="0" collapsed="false">
      <c r="A24" s="14" t="s">
        <v>99</v>
      </c>
      <c r="B24" s="12" t="s">
        <v>1415</v>
      </c>
      <c r="C24" s="17" t="s">
        <v>1416</v>
      </c>
      <c r="D24" s="17" t="s">
        <v>1417</v>
      </c>
      <c r="E24" s="28"/>
      <c r="F24" s="28"/>
      <c r="G24" s="28"/>
      <c r="H24" s="28"/>
      <c r="I24" s="26" t="s">
        <v>15</v>
      </c>
    </row>
    <row r="25" customFormat="false" ht="27.75" hidden="false" customHeight="true" outlineLevel="0" collapsed="false">
      <c r="A25" s="14" t="s">
        <v>99</v>
      </c>
      <c r="B25" s="12" t="s">
        <v>1418</v>
      </c>
      <c r="C25" s="17" t="s">
        <v>1409</v>
      </c>
      <c r="D25" s="17" t="s">
        <v>1419</v>
      </c>
      <c r="E25" s="28"/>
      <c r="F25" s="28"/>
      <c r="G25" s="28"/>
      <c r="H25" s="28"/>
      <c r="I25" s="26" t="s">
        <v>15</v>
      </c>
    </row>
    <row r="26" customFormat="false" ht="30.75" hidden="false" customHeight="true" outlineLevel="0" collapsed="false">
      <c r="A26" s="14" t="s">
        <v>99</v>
      </c>
      <c r="B26" s="12" t="s">
        <v>1420</v>
      </c>
      <c r="C26" s="17" t="s">
        <v>1421</v>
      </c>
      <c r="D26" s="17" t="s">
        <v>1422</v>
      </c>
      <c r="E26" s="28"/>
      <c r="F26" s="28"/>
      <c r="G26" s="28"/>
      <c r="H26" s="28"/>
      <c r="I26" s="26" t="s">
        <v>15</v>
      </c>
    </row>
    <row r="27" customFormat="false" ht="27.75" hidden="false" customHeight="true" outlineLevel="0" collapsed="false">
      <c r="A27" s="14" t="s">
        <v>99</v>
      </c>
      <c r="B27" s="12" t="s">
        <v>1423</v>
      </c>
      <c r="C27" s="17" t="s">
        <v>1421</v>
      </c>
      <c r="D27" s="17" t="s">
        <v>1424</v>
      </c>
      <c r="E27" s="28"/>
      <c r="F27" s="28"/>
      <c r="G27" s="28"/>
      <c r="H27" s="28"/>
      <c r="I27" s="26" t="s">
        <v>15</v>
      </c>
    </row>
    <row r="28" customFormat="false" ht="30.75" hidden="false" customHeight="true" outlineLevel="0" collapsed="false">
      <c r="A28" s="14" t="s">
        <v>63</v>
      </c>
      <c r="B28" s="12" t="s">
        <v>1425</v>
      </c>
      <c r="C28" s="17" t="s">
        <v>1426</v>
      </c>
      <c r="D28" s="17" t="s">
        <v>1427</v>
      </c>
      <c r="E28" s="28"/>
      <c r="F28" s="28"/>
      <c r="G28" s="28"/>
      <c r="H28" s="28"/>
      <c r="I28" s="26" t="s">
        <v>15</v>
      </c>
    </row>
    <row r="29" customFormat="false" ht="27.75" hidden="false" customHeight="true" outlineLevel="0" collapsed="false">
      <c r="A29" s="14" t="s">
        <v>63</v>
      </c>
      <c r="B29" s="12" t="s">
        <v>1428</v>
      </c>
      <c r="C29" s="17" t="s">
        <v>1429</v>
      </c>
      <c r="D29" s="17" t="s">
        <v>1430</v>
      </c>
      <c r="E29" s="28"/>
      <c r="F29" s="28"/>
      <c r="G29" s="28"/>
      <c r="H29" s="28"/>
      <c r="I29" s="26" t="s">
        <v>15</v>
      </c>
    </row>
    <row r="30" customFormat="false" ht="30.75" hidden="false" customHeight="true" outlineLevel="0" collapsed="false">
      <c r="A30" s="14" t="s">
        <v>87</v>
      </c>
      <c r="B30" s="12" t="s">
        <v>1431</v>
      </c>
      <c r="C30" s="17" t="s">
        <v>1416</v>
      </c>
      <c r="D30" s="17" t="s">
        <v>1432</v>
      </c>
      <c r="E30" s="28"/>
      <c r="F30" s="28"/>
      <c r="G30" s="28"/>
      <c r="H30" s="28"/>
      <c r="I30" s="26" t="s">
        <v>15</v>
      </c>
    </row>
    <row r="31" customFormat="false" ht="27.75" hidden="false" customHeight="true" outlineLevel="0" collapsed="false">
      <c r="A31" s="14" t="s">
        <v>87</v>
      </c>
      <c r="B31" s="12" t="s">
        <v>1433</v>
      </c>
      <c r="C31" s="17" t="s">
        <v>1421</v>
      </c>
      <c r="D31" s="17" t="s">
        <v>1434</v>
      </c>
      <c r="E31" s="28"/>
      <c r="F31" s="28"/>
      <c r="G31" s="28"/>
      <c r="H31" s="28"/>
      <c r="I31" s="26" t="s">
        <v>15</v>
      </c>
    </row>
    <row r="32" customFormat="false" ht="27.75" hidden="false" customHeight="true" outlineLevel="0" collapsed="false">
      <c r="A32" s="14" t="s">
        <v>87</v>
      </c>
      <c r="B32" s="12" t="s">
        <v>1435</v>
      </c>
      <c r="C32" s="17" t="s">
        <v>1370</v>
      </c>
      <c r="D32" s="17" t="s">
        <v>1436</v>
      </c>
      <c r="E32" s="28"/>
      <c r="F32" s="28"/>
      <c r="G32" s="28"/>
      <c r="H32" s="28"/>
      <c r="I32" s="26" t="s">
        <v>15</v>
      </c>
    </row>
    <row r="33" customFormat="false" ht="27.75" hidden="false" customHeight="true" outlineLevel="0" collapsed="false">
      <c r="A33" s="14" t="s">
        <v>87</v>
      </c>
      <c r="B33" s="12" t="s">
        <v>1437</v>
      </c>
      <c r="C33" s="17" t="s">
        <v>1409</v>
      </c>
      <c r="D33" s="17" t="s">
        <v>1438</v>
      </c>
      <c r="E33" s="28"/>
      <c r="F33" s="28"/>
      <c r="G33" s="28"/>
      <c r="H33" s="28"/>
      <c r="I33" s="26" t="s">
        <v>15</v>
      </c>
    </row>
    <row r="34" customFormat="false" ht="27.75" hidden="false" customHeight="true" outlineLevel="0" collapsed="false">
      <c r="A34" s="14" t="s">
        <v>112</v>
      </c>
      <c r="B34" s="12" t="s">
        <v>1439</v>
      </c>
      <c r="C34" s="17" t="s">
        <v>1440</v>
      </c>
      <c r="D34" s="17" t="s">
        <v>1441</v>
      </c>
      <c r="E34" s="28"/>
      <c r="F34" s="28"/>
      <c r="G34" s="28"/>
      <c r="H34" s="28"/>
      <c r="I34" s="26" t="s">
        <v>15</v>
      </c>
    </row>
    <row r="35" customFormat="false" ht="27.75" hidden="false" customHeight="true" outlineLevel="0" collapsed="false">
      <c r="A35" s="14" t="s">
        <v>112</v>
      </c>
      <c r="B35" s="12" t="s">
        <v>1442</v>
      </c>
      <c r="C35" s="17" t="s">
        <v>1443</v>
      </c>
      <c r="D35" s="17" t="s">
        <v>1444</v>
      </c>
      <c r="E35" s="28"/>
      <c r="F35" s="28"/>
      <c r="G35" s="28"/>
      <c r="H35" s="28"/>
      <c r="I35" s="26" t="s">
        <v>15</v>
      </c>
    </row>
    <row r="36" customFormat="false" ht="27.75" hidden="false" customHeight="true" outlineLevel="0" collapsed="false">
      <c r="A36" s="14" t="s">
        <v>112</v>
      </c>
      <c r="B36" s="12" t="s">
        <v>1445</v>
      </c>
      <c r="C36" s="17" t="s">
        <v>1446</v>
      </c>
      <c r="D36" s="17" t="s">
        <v>1447</v>
      </c>
      <c r="E36" s="28"/>
      <c r="F36" s="28"/>
      <c r="G36" s="28"/>
      <c r="H36" s="28"/>
      <c r="I36" s="26" t="s">
        <v>15</v>
      </c>
    </row>
    <row r="37" customFormat="false" ht="30.75" hidden="false" customHeight="true" outlineLevel="0" collapsed="false">
      <c r="A37" s="14" t="s">
        <v>112</v>
      </c>
      <c r="B37" s="12" t="s">
        <v>1448</v>
      </c>
      <c r="C37" s="17" t="s">
        <v>1366</v>
      </c>
      <c r="D37" s="17" t="s">
        <v>1449</v>
      </c>
      <c r="E37" s="28"/>
      <c r="F37" s="28"/>
      <c r="G37" s="28"/>
      <c r="H37" s="28"/>
      <c r="I37" s="26" t="s">
        <v>15</v>
      </c>
    </row>
    <row r="38" customFormat="false" ht="30.75" hidden="false" customHeight="true" outlineLevel="0" collapsed="false">
      <c r="A38" s="14" t="s">
        <v>1450</v>
      </c>
      <c r="B38" s="12" t="s">
        <v>1451</v>
      </c>
      <c r="C38" s="17" t="s">
        <v>1421</v>
      </c>
      <c r="D38" s="17" t="s">
        <v>1452</v>
      </c>
      <c r="E38" s="28"/>
      <c r="F38" s="28"/>
      <c r="G38" s="28"/>
      <c r="H38" s="28"/>
      <c r="I38" s="26" t="s">
        <v>15</v>
      </c>
    </row>
  </sheetData>
  <autoFilter ref="A5:I38"/>
  <conditionalFormatting sqref="I6:I38">
    <cfRule type="cellIs" priority="2" operator="equal" aboveAverage="0" equalAverage="0" bottom="0" percent="0" rank="0" text="" dxfId="14">
      <formula>"Learned"</formula>
    </cfRule>
    <cfRule type="cellIs" priority="3" operator="equal" aboveAverage="0" equalAverage="0" bottom="0" percent="0" rank="0" text="" dxfId="17">
      <formula>"Learning"</formula>
    </cfRule>
  </conditionalFormatting>
  <dataValidations count="1">
    <dataValidation allowBlank="true" error="Pick a value from the dropdown list." errorStyle="stop" errorTitle="Invalid value" operator="between" showDropDown="false" showErrorMessage="true" showInputMessage="false" sqref="I6:I38" type="list">
      <formula1>"Not started,Learning,Learned"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2026-10-29T04:35:31Z</dcterms:created>
  <dc:creator>openpyxl</dc:creator>
  <dc:description/>
  <dc:language>en-US</dc:language>
  <cp:lastModifiedBy/>
  <dcterms:modified xsi:type="dcterms:W3CDTF">2026-10-29T04:35:32Z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